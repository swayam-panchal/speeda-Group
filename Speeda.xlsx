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soyam\OneDrive\Pictures\"/>
    </mc:Choice>
  </mc:AlternateContent>
  <xr:revisionPtr revIDLastSave="0" documentId="8_{73599F2C-37C1-4CC7-BA25-4EDB40C436E7}" xr6:coauthVersionLast="47" xr6:coauthVersionMax="47" xr10:uidLastSave="{00000000-0000-0000-0000-000000000000}"/>
  <bookViews>
    <workbookView xWindow="-120" yWindow="-120" windowWidth="20730" windowHeight="11160" activeTab="1" xr2:uid="{F32BE2D8-A0E8-4F5C-A915-931C80E17763}"/>
  </bookViews>
  <sheets>
    <sheet name="Pivot" sheetId="4" r:id="rId1"/>
    <sheet name="Dashboard" sheetId="5" r:id="rId2"/>
    <sheet name="Careem_Bike_Data" sheetId="2" r:id="rId3"/>
  </sheets>
  <definedNames>
    <definedName name="ExternalData_1" localSheetId="2" hidden="1">'Careem_Bike_Data'!$A$1:$N$346</definedName>
    <definedName name="Slicer_Payment_Method">#N/A</definedName>
    <definedName name="Slicer_Ride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2" i="2" l="1"/>
  <c r="U2" i="2"/>
  <c r="T2" i="2"/>
  <c r="S2" i="2"/>
  <c r="R2" i="2"/>
  <c r="Q2" i="2"/>
  <c r="P2" i="2"/>
  <c r="O2" i="2"/>
  <c r="E9" i="4"/>
  <c r="C9" i="4"/>
  <c r="A9" i="4"/>
  <c r="G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D993BE-3B2A-431E-A10D-FEAC9798A81D}" keepAlive="1" name="Query - Careem_Bike_Data" description="Connection to the 'Careem_Bike_Data' query in the workbook." type="5" refreshedVersion="7" background="1" saveData="1">
    <dbPr connection="Provider=Microsoft.Mashup.OleDb.1;Data Source=$Workbook$;Location=Careem_Bike_Data;Extended Properties=&quot;&quot;" command="SELECT * FROM [Careem_Bike_Data]"/>
  </connection>
</connections>
</file>

<file path=xl/sharedStrings.xml><?xml version="1.0" encoding="utf-8"?>
<sst xmlns="http://schemas.openxmlformats.org/spreadsheetml/2006/main" count="2497" uniqueCount="72">
  <si>
    <t>Ride ID</t>
  </si>
  <si>
    <t>Ride Date</t>
  </si>
  <si>
    <t>User ID</t>
  </si>
  <si>
    <t>User Gender</t>
  </si>
  <si>
    <t>User Age</t>
  </si>
  <si>
    <t>Pickup Station</t>
  </si>
  <si>
    <t>Drop Station</t>
  </si>
  <si>
    <t>Ride Duration (Minutes)</t>
  </si>
  <si>
    <t>Distance (KM)</t>
  </si>
  <si>
    <t>Ride Type</t>
  </si>
  <si>
    <t>Payment Method</t>
  </si>
  <si>
    <t>Ride Cost (AED)</t>
  </si>
  <si>
    <t>Subscription Type</t>
  </si>
  <si>
    <t>Female</t>
  </si>
  <si>
    <t>Silicon Oasis</t>
  </si>
  <si>
    <t>Karama</t>
  </si>
  <si>
    <t>Regular Bike</t>
  </si>
  <si>
    <t>Wallet</t>
  </si>
  <si>
    <t>Daily Pass</t>
  </si>
  <si>
    <t>Male</t>
  </si>
  <si>
    <t>JLT</t>
  </si>
  <si>
    <t>Business Bay</t>
  </si>
  <si>
    <t>Careem Pay</t>
  </si>
  <si>
    <t>Pay Per Ride</t>
  </si>
  <si>
    <t>Bur Dubai</t>
  </si>
  <si>
    <t>Al Barsha</t>
  </si>
  <si>
    <t>Monthly Pass</t>
  </si>
  <si>
    <t>Dubai Marina</t>
  </si>
  <si>
    <t>Palm Jumeirah</t>
  </si>
  <si>
    <t>Card</t>
  </si>
  <si>
    <t>Yearly Pass</t>
  </si>
  <si>
    <t>Electric Bike</t>
  </si>
  <si>
    <t>City Walk</t>
  </si>
  <si>
    <t>Deira</t>
  </si>
  <si>
    <t>Jumeirah</t>
  </si>
  <si>
    <t>Downtown Dubai</t>
  </si>
  <si>
    <t>Month Name</t>
  </si>
  <si>
    <t>April</t>
  </si>
  <si>
    <t>August</t>
  </si>
  <si>
    <t>May</t>
  </si>
  <si>
    <t>February</t>
  </si>
  <si>
    <t>November</t>
  </si>
  <si>
    <t>December</t>
  </si>
  <si>
    <t>September</t>
  </si>
  <si>
    <t>October</t>
  </si>
  <si>
    <t>June</t>
  </si>
  <si>
    <t>March</t>
  </si>
  <si>
    <t>July</t>
  </si>
  <si>
    <t>January</t>
  </si>
  <si>
    <t>Total Rides</t>
  </si>
  <si>
    <t>Total Cost</t>
  </si>
  <si>
    <t>Average Cost</t>
  </si>
  <si>
    <t>Average Ride</t>
  </si>
  <si>
    <t>Total Male</t>
  </si>
  <si>
    <t>Total Female</t>
  </si>
  <si>
    <t>Count of Ride ID</t>
  </si>
  <si>
    <t>Sum of Ride Cost (AED)</t>
  </si>
  <si>
    <t>Average of Ride Duration (Minutes)</t>
  </si>
  <si>
    <t>Average of Distance (KM)</t>
  </si>
  <si>
    <t>Row Labels</t>
  </si>
  <si>
    <t>Grand Total</t>
  </si>
  <si>
    <t>Jan</t>
  </si>
  <si>
    <t>Feb</t>
  </si>
  <si>
    <t>Mar</t>
  </si>
  <si>
    <t>Apr</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</si>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</sst>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sz val="11"/>
      <color theme="0"/>
      <name val="Calibri"/>
      <family val="2"/>
      <scheme val="minor"/>
    </font>
    <font>
      <sz val="8"/>
      <name val="Calibri"/>
      <family val="2"/>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left"/>
    </xf>
    <xf numFmtId="0" fontId="1" fillId="2" borderId="0" xfId="0" applyFont="1" applyFill="1" applyAlignment="1">
      <alignment horizontal="left"/>
    </xf>
    <xf numFmtId="0" fontId="0" fillId="0" borderId="0" xfId="0" applyBorder="1" applyAlignment="1">
      <alignment horizontal="left"/>
    </xf>
    <xf numFmtId="0" fontId="0" fillId="0" borderId="0" xfId="0" applyNumberFormat="1" applyBorder="1" applyAlignment="1">
      <alignment horizontal="left"/>
    </xf>
    <xf numFmtId="14" fontId="0" fillId="0" borderId="0" xfId="0" applyNumberFormat="1" applyBorder="1" applyAlignment="1">
      <alignment horizontal="left"/>
    </xf>
    <xf numFmtId="0" fontId="1" fillId="2" borderId="0" xfId="0" applyFont="1" applyFill="1" applyAlignment="1">
      <alignment horizontal="center"/>
    </xf>
    <xf numFmtId="0" fontId="2" fillId="2" borderId="0" xfId="0" applyFont="1" applyFill="1" applyAlignment="1">
      <alignment horizontal="left"/>
    </xf>
    <xf numFmtId="0" fontId="0" fillId="0" borderId="0" xfId="0" applyNumberFormat="1"/>
    <xf numFmtId="0" fontId="0" fillId="0" borderId="0" xfId="0" pivotButton="1"/>
    <xf numFmtId="2" fontId="0" fillId="0" borderId="0" xfId="0" applyNumberFormat="1"/>
  </cellXfs>
  <cellStyles count="1">
    <cellStyle name="Normal" xfId="0" builtinId="0"/>
  </cellStyles>
  <dxfs count="30">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ill>
        <patternFill>
          <fgColor indexed="64"/>
          <bgColor rgb="FFFF0000"/>
        </patternFill>
      </fill>
      <alignment horizontal="left" vertical="bottom" textRotation="0" wrapText="0" indent="0" justifyLastLine="0" shrinkToFit="0" readingOrder="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[Careem.xlsx]Pivot!PivotTable5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Ride &amp; Cost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Pivot!$B$19</c:f>
              <c:strCache>
                <c:ptCount val="1"/>
                <c:pt idx="0">
                  <c:v>Count of Ride ID</c:v>
                </c:pt>
              </c:strCache>
            </c:strRef>
          </c:tx>
          <c:spPr>
            <a:solidFill>
              <a:schemeClr val="accent1"/>
            </a:solidFill>
            <a:ln>
              <a:noFill/>
            </a:ln>
            <a:effectLst/>
          </c:spPr>
          <c:invertIfNegative val="0"/>
          <c:cat>
            <c:strRef>
              <c:f>Pivot!$A$20:$A$21</c:f>
              <c:strCache>
                <c:ptCount val="1"/>
                <c:pt idx="0">
                  <c:v>Regular Bike</c:v>
                </c:pt>
              </c:strCache>
            </c:strRef>
          </c:cat>
          <c:val>
            <c:numRef>
              <c:f>Pivot!$B$20:$B$21</c:f>
              <c:numCache>
                <c:formatCode>General</c:formatCode>
                <c:ptCount val="1"/>
                <c:pt idx="0">
                  <c:v>58</c:v>
                </c:pt>
              </c:numCache>
            </c:numRef>
          </c:val>
          <c:extLst>
            <c:ext xmlns:c16="http://schemas.microsoft.com/office/drawing/2014/chart" uri="{C3380CC4-5D6E-409C-BE32-E72D297353CC}">
              <c16:uniqueId val="{00000000-C473-4203-9C5E-496C4E6111A5}"/>
            </c:ext>
          </c:extLst>
        </c:ser>
        <c:ser>
          <c:idx val="1"/>
          <c:order val="1"/>
          <c:tx>
            <c:strRef>
              <c:f>Pivot!$C$19</c:f>
              <c:strCache>
                <c:ptCount val="1"/>
                <c:pt idx="0">
                  <c:v>Sum of Ride Cost (AED)</c:v>
                </c:pt>
              </c:strCache>
            </c:strRef>
          </c:tx>
          <c:spPr>
            <a:solidFill>
              <a:schemeClr val="accent2"/>
            </a:solidFill>
            <a:ln>
              <a:noFill/>
            </a:ln>
            <a:effectLst/>
          </c:spPr>
          <c:invertIfNegative val="0"/>
          <c:cat>
            <c:strRef>
              <c:f>Pivot!$A$20:$A$21</c:f>
              <c:strCache>
                <c:ptCount val="1"/>
                <c:pt idx="0">
                  <c:v>Regular Bike</c:v>
                </c:pt>
              </c:strCache>
            </c:strRef>
          </c:cat>
          <c:val>
            <c:numRef>
              <c:f>Pivot!$C$20:$C$21</c:f>
              <c:numCache>
                <c:formatCode>General</c:formatCode>
                <c:ptCount val="1"/>
                <c:pt idx="0">
                  <c:v>591.6</c:v>
                </c:pt>
              </c:numCache>
            </c:numRef>
          </c:val>
          <c:extLst>
            <c:ext xmlns:c16="http://schemas.microsoft.com/office/drawing/2014/chart" uri="{C3380CC4-5D6E-409C-BE32-E72D297353CC}">
              <c16:uniqueId val="{00000001-C473-4203-9C5E-496C4E6111A5}"/>
            </c:ext>
          </c:extLst>
        </c:ser>
        <c:dLbls>
          <c:showLegendKey val="0"/>
          <c:showVal val="0"/>
          <c:showCatName val="0"/>
          <c:showSerName val="0"/>
          <c:showPercent val="0"/>
          <c:showBubbleSize val="0"/>
        </c:dLbls>
        <c:gapWidth val="182"/>
        <c:axId val="186671120"/>
        <c:axId val="186670288"/>
      </c:barChart>
      <c:catAx>
        <c:axId val="18667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70288"/>
        <c:crosses val="autoZero"/>
        <c:auto val="1"/>
        <c:lblAlgn val="ctr"/>
        <c:lblOffset val="100"/>
        <c:noMultiLvlLbl val="0"/>
      </c:catAx>
      <c:valAx>
        <c:axId val="186670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71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[Careem.xlsx]Pivot!PivotTable6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Subscription</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Pivot!$F$19</c:f>
              <c:strCache>
                <c:ptCount val="1"/>
                <c:pt idx="0">
                  <c:v>Count of Ride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72-480B-9D37-E91C273968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72-480B-9D37-E91C273968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872-480B-9D37-E91C2739689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872-480B-9D37-E91C27396898}"/>
              </c:ext>
            </c:extLst>
          </c:dPt>
          <c:cat>
            <c:strRef>
              <c:f>Pivot!$E$20:$E$24</c:f>
              <c:strCache>
                <c:ptCount val="4"/>
                <c:pt idx="0">
                  <c:v>Daily Pass</c:v>
                </c:pt>
                <c:pt idx="1">
                  <c:v>Monthly Pass</c:v>
                </c:pt>
                <c:pt idx="2">
                  <c:v>Pay Per Ride</c:v>
                </c:pt>
                <c:pt idx="3">
                  <c:v>Yearly Pass</c:v>
                </c:pt>
              </c:strCache>
            </c:strRef>
          </c:cat>
          <c:val>
            <c:numRef>
              <c:f>Pivot!$F$20:$F$24</c:f>
              <c:numCache>
                <c:formatCode>General</c:formatCode>
                <c:ptCount val="4"/>
                <c:pt idx="0">
                  <c:v>18</c:v>
                </c:pt>
                <c:pt idx="1">
                  <c:v>11</c:v>
                </c:pt>
                <c:pt idx="2">
                  <c:v>14</c:v>
                </c:pt>
                <c:pt idx="3">
                  <c:v>15</c:v>
                </c:pt>
              </c:numCache>
            </c:numRef>
          </c:val>
          <c:extLst>
            <c:ext xmlns:c16="http://schemas.microsoft.com/office/drawing/2014/chart" uri="{C3380CC4-5D6E-409C-BE32-E72D297353CC}">
              <c16:uniqueId val="{00000003-770D-47CA-8991-760BF1F6DED5}"/>
            </c:ext>
          </c:extLst>
        </c:ser>
        <c:ser>
          <c:idx val="1"/>
          <c:order val="1"/>
          <c:tx>
            <c:strRef>
              <c:f>Pivot!$G$19</c:f>
              <c:strCache>
                <c:ptCount val="1"/>
                <c:pt idx="0">
                  <c:v>Sum of Ride Cost (AED)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E872-480B-9D37-E91C273968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E872-480B-9D37-E91C273968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E872-480B-9D37-E91C2739689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E872-480B-9D37-E91C27396898}"/>
              </c:ext>
            </c:extLst>
          </c:dPt>
          <c:cat>
            <c:strRef>
              <c:f>Pivot!$E$20:$E$24</c:f>
              <c:strCache>
                <c:ptCount val="4"/>
                <c:pt idx="0">
                  <c:v>Daily Pass</c:v>
                </c:pt>
                <c:pt idx="1">
                  <c:v>Monthly Pass</c:v>
                </c:pt>
                <c:pt idx="2">
                  <c:v>Pay Per Ride</c:v>
                </c:pt>
                <c:pt idx="3">
                  <c:v>Yearly Pass</c:v>
                </c:pt>
              </c:strCache>
            </c:strRef>
          </c:cat>
          <c:val>
            <c:numRef>
              <c:f>Pivot!$G$20:$G$24</c:f>
              <c:numCache>
                <c:formatCode>General</c:formatCode>
                <c:ptCount val="4"/>
                <c:pt idx="0">
                  <c:v>190.60000000000002</c:v>
                </c:pt>
                <c:pt idx="1">
                  <c:v>96.8</c:v>
                </c:pt>
                <c:pt idx="2">
                  <c:v>154.79999999999998</c:v>
                </c:pt>
                <c:pt idx="3">
                  <c:v>149.39999999999998</c:v>
                </c:pt>
              </c:numCache>
            </c:numRef>
          </c:val>
          <c:extLst>
            <c:ext xmlns:c16="http://schemas.microsoft.com/office/drawing/2014/chart" uri="{C3380CC4-5D6E-409C-BE32-E72D297353CC}">
              <c16:uniqueId val="{00000004-770D-47CA-8991-760BF1F6DED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[Careem.xlsx]Pivot!PivotTable7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Pivot!$J$19</c:f>
              <c:strCache>
                <c:ptCount val="1"/>
                <c:pt idx="0">
                  <c:v>Count of Ride ID</c:v>
                </c:pt>
              </c:strCache>
            </c:strRef>
          </c:tx>
          <c:spPr>
            <a:solidFill>
              <a:schemeClr val="accent1"/>
            </a:solidFill>
            <a:ln>
              <a:noFill/>
            </a:ln>
            <a:effectLst/>
          </c:spPr>
          <c:invertIfNegative val="0"/>
          <c:cat>
            <c:strRef>
              <c:f>Pivot!$I$20:$I$21</c:f>
              <c:strCache>
                <c:ptCount val="1"/>
                <c:pt idx="0">
                  <c:v>Wallet</c:v>
                </c:pt>
              </c:strCache>
            </c:strRef>
          </c:cat>
          <c:val>
            <c:numRef>
              <c:f>Pivot!$J$20:$J$21</c:f>
              <c:numCache>
                <c:formatCode>0.00</c:formatCode>
                <c:ptCount val="1"/>
                <c:pt idx="0">
                  <c:v>58</c:v>
                </c:pt>
              </c:numCache>
            </c:numRef>
          </c:val>
          <c:extLst>
            <c:ext xmlns:c16="http://schemas.microsoft.com/office/drawing/2014/chart" uri="{C3380CC4-5D6E-409C-BE32-E72D297353CC}">
              <c16:uniqueId val="{00000000-D400-445B-892A-B015592DBE2B}"/>
            </c:ext>
          </c:extLst>
        </c:ser>
        <c:ser>
          <c:idx val="1"/>
          <c:order val="1"/>
          <c:tx>
            <c:strRef>
              <c:f>Pivot!$K$19</c:f>
              <c:strCache>
                <c:ptCount val="1"/>
                <c:pt idx="0">
                  <c:v>Sum of Ride Cost (AED)</c:v>
                </c:pt>
              </c:strCache>
            </c:strRef>
          </c:tx>
          <c:spPr>
            <a:solidFill>
              <a:schemeClr val="accent2"/>
            </a:solidFill>
            <a:ln>
              <a:noFill/>
            </a:ln>
            <a:effectLst/>
          </c:spPr>
          <c:invertIfNegative val="0"/>
          <c:cat>
            <c:strRef>
              <c:f>Pivot!$I$20:$I$21</c:f>
              <c:strCache>
                <c:ptCount val="1"/>
                <c:pt idx="0">
                  <c:v>Wallet</c:v>
                </c:pt>
              </c:strCache>
            </c:strRef>
          </c:cat>
          <c:val>
            <c:numRef>
              <c:f>Pivot!$K$20:$K$21</c:f>
              <c:numCache>
                <c:formatCode>0.00</c:formatCode>
                <c:ptCount val="1"/>
                <c:pt idx="0">
                  <c:v>591.6</c:v>
                </c:pt>
              </c:numCache>
            </c:numRef>
          </c:val>
          <c:extLst>
            <c:ext xmlns:c16="http://schemas.microsoft.com/office/drawing/2014/chart" uri="{C3380CC4-5D6E-409C-BE32-E72D297353CC}">
              <c16:uniqueId val="{00000001-D400-445B-892A-B015592DBE2B}"/>
            </c:ext>
          </c:extLst>
        </c:ser>
        <c:dLbls>
          <c:showLegendKey val="0"/>
          <c:showVal val="0"/>
          <c:showCatName val="0"/>
          <c:showSerName val="0"/>
          <c:showPercent val="0"/>
          <c:showBubbleSize val="0"/>
        </c:dLbls>
        <c:gapWidth val="182"/>
        <c:axId val="252904480"/>
        <c:axId val="252899488"/>
      </c:barChart>
      <c:catAx>
        <c:axId val="252904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899488"/>
        <c:crosses val="autoZero"/>
        <c:auto val="1"/>
        <c:lblAlgn val="ctr"/>
        <c:lblOffset val="100"/>
        <c:noMultiLvlLbl val="0"/>
      </c:catAx>
      <c:valAx>
        <c:axId val="25289948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90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[Careem.xlsx]Pivot!PivotTable8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Wise</a:t>
            </a:r>
            <a:r>
              <a:rPr lang="en-US" baseline="0"/>
              <a:t> Payment Cost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Pivot!$O$19</c:f>
              <c:strCache>
                <c:ptCount val="1"/>
                <c:pt idx="0">
                  <c:v>Sum of Ride Cost (AED)</c:v>
                </c:pt>
              </c:strCache>
            </c:strRef>
          </c:tx>
          <c:spPr>
            <a:ln w="28575" cap="rnd">
              <a:solidFill>
                <a:schemeClr val="accent1"/>
              </a:solidFill>
              <a:round/>
            </a:ln>
            <a:effectLst/>
          </c:spPr>
          <c:marker>
            <c:symbol val="none"/>
          </c:marker>
          <c:cat>
            <c:strRef>
              <c:f>Pivot!$N$20:$N$32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Pivot!$O$20:$O$32</c:f>
              <c:numCache>
                <c:formatCode>0.00</c:formatCode>
                <c:ptCount val="12"/>
                <c:pt idx="0">
                  <c:v>65.8</c:v>
                </c:pt>
                <c:pt idx="1">
                  <c:v>23</c:v>
                </c:pt>
                <c:pt idx="2">
                  <c:v>8.6</c:v>
                </c:pt>
                <c:pt idx="3">
                  <c:v>108.60000000000001</c:v>
                </c:pt>
                <c:pt idx="4">
                  <c:v>50.800000000000004</c:v>
                </c:pt>
                <c:pt idx="5">
                  <c:v>46.4</c:v>
                </c:pt>
                <c:pt idx="6">
                  <c:v>38.799999999999997</c:v>
                </c:pt>
                <c:pt idx="7">
                  <c:v>12.8</c:v>
                </c:pt>
                <c:pt idx="8">
                  <c:v>20.2</c:v>
                </c:pt>
                <c:pt idx="9">
                  <c:v>93.8</c:v>
                </c:pt>
                <c:pt idx="10">
                  <c:v>98.600000000000009</c:v>
                </c:pt>
                <c:pt idx="11">
                  <c:v>24.2</c:v>
                </c:pt>
              </c:numCache>
            </c:numRef>
          </c:val>
          <c:smooth val="0"/>
          <c:extLst>
            <c:ext xmlns:c16="http://schemas.microsoft.com/office/drawing/2014/chart" uri="{C3380CC4-5D6E-409C-BE32-E72D297353CC}">
              <c16:uniqueId val="{00000000-3502-46D0-8B60-1F77B38CE438}"/>
            </c:ext>
          </c:extLst>
        </c:ser>
        <c:ser>
          <c:idx val="1"/>
          <c:order val="1"/>
          <c:tx>
            <c:strRef>
              <c:f>Pivot!$P$19</c:f>
              <c:strCache>
                <c:ptCount val="1"/>
                <c:pt idx="0">
                  <c:v>Count of Ride ID</c:v>
                </c:pt>
              </c:strCache>
            </c:strRef>
          </c:tx>
          <c:spPr>
            <a:ln w="28575" cap="rnd">
              <a:solidFill>
                <a:schemeClr val="accent2"/>
              </a:solidFill>
              <a:round/>
            </a:ln>
            <a:effectLst/>
          </c:spPr>
          <c:marker>
            <c:symbol val="none"/>
          </c:marker>
          <c:cat>
            <c:strRef>
              <c:f>Pivot!$N$20:$N$32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Pivot!$P$20:$P$32</c:f>
              <c:numCache>
                <c:formatCode>0.00</c:formatCode>
                <c:ptCount val="12"/>
                <c:pt idx="0">
                  <c:v>6</c:v>
                </c:pt>
                <c:pt idx="1">
                  <c:v>3</c:v>
                </c:pt>
                <c:pt idx="2">
                  <c:v>1</c:v>
                </c:pt>
                <c:pt idx="3">
                  <c:v>9</c:v>
                </c:pt>
                <c:pt idx="4">
                  <c:v>6</c:v>
                </c:pt>
                <c:pt idx="5">
                  <c:v>5</c:v>
                </c:pt>
                <c:pt idx="6">
                  <c:v>3</c:v>
                </c:pt>
                <c:pt idx="7">
                  <c:v>1</c:v>
                </c:pt>
                <c:pt idx="8">
                  <c:v>2</c:v>
                </c:pt>
                <c:pt idx="9">
                  <c:v>9</c:v>
                </c:pt>
                <c:pt idx="10">
                  <c:v>10</c:v>
                </c:pt>
                <c:pt idx="11">
                  <c:v>3</c:v>
                </c:pt>
              </c:numCache>
            </c:numRef>
          </c:val>
          <c:smooth val="0"/>
          <c:extLst>
            <c:ext xmlns:c16="http://schemas.microsoft.com/office/drawing/2014/chart" uri="{C3380CC4-5D6E-409C-BE32-E72D297353CC}">
              <c16:uniqueId val="{00000001-3502-46D0-8B60-1F77B38CE438}"/>
            </c:ext>
          </c:extLst>
        </c:ser>
        <c:dLbls>
          <c:showLegendKey val="0"/>
          <c:showVal val="0"/>
          <c:showCatName val="0"/>
          <c:showSerName val="0"/>
          <c:showPercent val="0"/>
          <c:showBubbleSize val="0"/>
        </c:dLbls>
        <c:smooth val="0"/>
        <c:axId val="610286096"/>
        <c:axId val="610286512"/>
      </c:lineChart>
      <c:catAx>
        <c:axId val="61028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286512"/>
        <c:crosses val="autoZero"/>
        <c:auto val="1"/>
        <c:lblAlgn val="ctr"/>
        <c:lblOffset val="100"/>
        <c:noMultiLvlLbl val="0"/>
      </c:catAx>
      <c:valAx>
        <c:axId val="610286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28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[Careem.xlsx]Pivot!PivotTable9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Pivot!$T$19</c:f>
              <c:strCache>
                <c:ptCount val="1"/>
                <c:pt idx="0">
                  <c:v>Total</c:v>
                </c:pt>
              </c:strCache>
            </c:strRef>
          </c:tx>
          <c:spPr>
            <a:solidFill>
              <a:schemeClr val="accent1"/>
            </a:solidFill>
            <a:ln>
              <a:noFill/>
            </a:ln>
            <a:effectLst/>
          </c:spPr>
          <c:invertIfNegative val="0"/>
          <c:cat>
            <c:strRef>
              <c:f>Pivot!$S$20:$S$32</c:f>
              <c:strCache>
                <c:ptCount val="12"/>
                <c:pt idx="0">
                  <c:v>Nov</c:v>
                </c:pt>
                <c:pt idx="1">
                  <c:v>Oct</c:v>
                </c:pt>
                <c:pt idx="2">
                  <c:v>Apr</c:v>
                </c:pt>
                <c:pt idx="3">
                  <c:v>Jan</c:v>
                </c:pt>
                <c:pt idx="4">
                  <c:v>May</c:v>
                </c:pt>
                <c:pt idx="5">
                  <c:v>Jun</c:v>
                </c:pt>
                <c:pt idx="6">
                  <c:v>Dec</c:v>
                </c:pt>
                <c:pt idx="7">
                  <c:v>Feb</c:v>
                </c:pt>
                <c:pt idx="8">
                  <c:v>Jul</c:v>
                </c:pt>
                <c:pt idx="9">
                  <c:v>Sep</c:v>
                </c:pt>
                <c:pt idx="10">
                  <c:v>Mar</c:v>
                </c:pt>
                <c:pt idx="11">
                  <c:v>Aug</c:v>
                </c:pt>
              </c:strCache>
            </c:strRef>
          </c:cat>
          <c:val>
            <c:numRef>
              <c:f>Pivot!$T$20:$T$32</c:f>
              <c:numCache>
                <c:formatCode>0.00</c:formatCode>
                <c:ptCount val="12"/>
                <c:pt idx="0">
                  <c:v>10</c:v>
                </c:pt>
                <c:pt idx="1">
                  <c:v>9</c:v>
                </c:pt>
                <c:pt idx="2">
                  <c:v>9</c:v>
                </c:pt>
                <c:pt idx="3">
                  <c:v>6</c:v>
                </c:pt>
                <c:pt idx="4">
                  <c:v>6</c:v>
                </c:pt>
                <c:pt idx="5">
                  <c:v>5</c:v>
                </c:pt>
                <c:pt idx="6">
                  <c:v>3</c:v>
                </c:pt>
                <c:pt idx="7">
                  <c:v>3</c:v>
                </c:pt>
                <c:pt idx="8">
                  <c:v>3</c:v>
                </c:pt>
                <c:pt idx="9">
                  <c:v>2</c:v>
                </c:pt>
                <c:pt idx="10">
                  <c:v>1</c:v>
                </c:pt>
                <c:pt idx="11">
                  <c:v>1</c:v>
                </c:pt>
              </c:numCache>
            </c:numRef>
          </c:val>
          <c:extLst>
            <c:ext xmlns:c16="http://schemas.microsoft.com/office/drawing/2014/chart" uri="{C3380CC4-5D6E-409C-BE32-E72D297353CC}">
              <c16:uniqueId val="{00000000-1C49-4AC1-9591-022E49DEF4DF}"/>
            </c:ext>
          </c:extLst>
        </c:ser>
        <c:dLbls>
          <c:showLegendKey val="0"/>
          <c:showVal val="0"/>
          <c:showCatName val="0"/>
          <c:showSerName val="0"/>
          <c:showPercent val="0"/>
          <c:showBubbleSize val="0"/>
        </c:dLbls>
        <c:gapWidth val="219"/>
        <c:overlap val="-27"/>
        <c:axId val="2054966544"/>
        <c:axId val="1759105600"/>
      </c:barChart>
      <c:catAx>
        <c:axId val="205496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105600"/>
        <c:crosses val="autoZero"/>
        <c:auto val="1"/>
        <c:lblAlgn val="ctr"/>
        <c:lblOffset val="100"/>
        <c:noMultiLvlLbl val="0"/>
      </c:catAx>
      <c:valAx>
        <c:axId val="1759105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96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[Careem.xlsx]Pivot!PivotTable10</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Pivot!$B$40</c:f>
              <c:strCache>
                <c:ptCount val="1"/>
                <c:pt idx="0">
                  <c:v>Total</c:v>
                </c:pt>
              </c:strCache>
            </c:strRef>
          </c:tx>
          <c:spPr>
            <a:solidFill>
              <a:schemeClr val="accent1"/>
            </a:solidFill>
            <a:ln>
              <a:noFill/>
            </a:ln>
            <a:effectLst/>
          </c:spPr>
          <c:invertIfNegative val="0"/>
          <c:cat>
            <c:strRef>
              <c:f>Pivot!$A$41:$A$45</c:f>
              <c:strCache>
                <c:ptCount val="4"/>
                <c:pt idx="0">
                  <c:v>Daily Pass</c:v>
                </c:pt>
                <c:pt idx="1">
                  <c:v>Pay Per Ride</c:v>
                </c:pt>
                <c:pt idx="2">
                  <c:v>Yearly Pass</c:v>
                </c:pt>
                <c:pt idx="3">
                  <c:v>Monthly Pass</c:v>
                </c:pt>
              </c:strCache>
            </c:strRef>
          </c:cat>
          <c:val>
            <c:numRef>
              <c:f>Pivot!$B$41:$B$45</c:f>
              <c:numCache>
                <c:formatCode>0.00</c:formatCode>
                <c:ptCount val="4"/>
                <c:pt idx="0">
                  <c:v>190.60000000000002</c:v>
                </c:pt>
                <c:pt idx="1">
                  <c:v>154.79999999999998</c:v>
                </c:pt>
                <c:pt idx="2">
                  <c:v>149.39999999999998</c:v>
                </c:pt>
                <c:pt idx="3">
                  <c:v>96.8</c:v>
                </c:pt>
              </c:numCache>
            </c:numRef>
          </c:val>
          <c:extLst>
            <c:ext xmlns:c16="http://schemas.microsoft.com/office/drawing/2014/chart" uri="{C3380CC4-5D6E-409C-BE32-E72D297353CC}">
              <c16:uniqueId val="{00000000-5F5A-4F5C-ADC8-7D8EC5E485D4}"/>
            </c:ext>
          </c:extLst>
        </c:ser>
        <c:dLbls>
          <c:showLegendKey val="0"/>
          <c:showVal val="0"/>
          <c:showCatName val="0"/>
          <c:showSerName val="0"/>
          <c:showPercent val="0"/>
          <c:showBubbleSize val="0"/>
        </c:dLbls>
        <c:gapWidth val="182"/>
        <c:axId val="1420947728"/>
        <c:axId val="1420951472"/>
      </c:barChart>
      <c:catAx>
        <c:axId val="142094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951472"/>
        <c:crosses val="autoZero"/>
        <c:auto val="1"/>
        <c:lblAlgn val="ctr"/>
        <c:lblOffset val="100"/>
        <c:noMultiLvlLbl val="0"/>
      </c:catAx>
      <c:valAx>
        <c:axId val="142095147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94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[Careem.xlsx]Pivot!PivotTable5</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Total Ride &amp; Cost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Pivot!$B$19</c:f>
              <c:strCache>
                <c:ptCount val="1"/>
                <c:pt idx="0">
                  <c:v>Count of Ride ID</c:v>
                </c:pt>
              </c:strCache>
            </c:strRef>
          </c:tx>
          <c:spPr>
            <a:solidFill>
              <a:schemeClr val="accent1"/>
            </a:solidFill>
            <a:ln>
              <a:noFill/>
            </a:ln>
            <a:effectLst/>
          </c:spPr>
          <c:invertIfNegative val="0"/>
          <c:cat>
            <c:strRef>
              <c:f>Pivot!$A$20:$A$21</c:f>
              <c:strCache>
                <c:ptCount val="1"/>
                <c:pt idx="0">
                  <c:v>Regular Bike</c:v>
                </c:pt>
              </c:strCache>
            </c:strRef>
          </c:cat>
          <c:val>
            <c:numRef>
              <c:f>Pivot!$B$20:$B$21</c:f>
              <c:numCache>
                <c:formatCode>General</c:formatCode>
                <c:ptCount val="1"/>
                <c:pt idx="0">
                  <c:v>58</c:v>
                </c:pt>
              </c:numCache>
            </c:numRef>
          </c:val>
          <c:extLst>
            <c:ext xmlns:c16="http://schemas.microsoft.com/office/drawing/2014/chart" uri="{C3380CC4-5D6E-409C-BE32-E72D297353CC}">
              <c16:uniqueId val="{00000000-9C31-4120-8396-B8A15190A03A}"/>
            </c:ext>
          </c:extLst>
        </c:ser>
        <c:ser>
          <c:idx val="1"/>
          <c:order val="1"/>
          <c:tx>
            <c:strRef>
              <c:f>Pivot!$C$19</c:f>
              <c:strCache>
                <c:ptCount val="1"/>
                <c:pt idx="0">
                  <c:v>Sum of Ride Cost (AED)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Pivot!$A$20:$A$21</c:f>
              <c:strCache>
                <c:ptCount val="1"/>
                <c:pt idx="0">
                  <c:v>Regular Bike</c:v>
                </c:pt>
              </c:strCache>
            </c:strRef>
          </c:cat>
          <c:val>
            <c:numRef>
              <c:f>Pivot!$C$20:$C$21</c:f>
              <c:numCache>
                <c:formatCode>General</c:formatCode>
                <c:ptCount val="1"/>
                <c:pt idx="0">
                  <c:v>591.6</c:v>
                </c:pt>
              </c:numCache>
            </c:numRef>
          </c:val>
          <c:extLst>
            <c:ext xmlns:c16="http://schemas.microsoft.com/office/drawing/2014/chart" uri="{C3380CC4-5D6E-409C-BE32-E72D297353CC}">
              <c16:uniqueId val="{00000001-9C31-4120-8396-B8A15190A03A}"/>
            </c:ext>
          </c:extLst>
        </c:ser>
        <c:dLbls>
          <c:showLegendKey val="0"/>
          <c:showVal val="0"/>
          <c:showCatName val="0"/>
          <c:showSerName val="0"/>
          <c:showPercent val="0"/>
          <c:showBubbleSize val="0"/>
        </c:dLbls>
        <c:gapWidth val="182"/>
        <c:axId val="186671120"/>
        <c:axId val="186670288"/>
      </c:barChart>
      <c:catAx>
        <c:axId val="18667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86670288"/>
        <c:crosses val="autoZero"/>
        <c:auto val="1"/>
        <c:lblAlgn val="ctr"/>
        <c:lblOffset val="100"/>
        <c:noMultiLvlLbl val="0"/>
      </c:catAx>
      <c:valAx>
        <c:axId val="186670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6671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[Careem.xlsx]Pivot!PivotTable6</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Subscription</a:t>
            </a:r>
            <a:r>
              <a:rPr lang="en-US" b="1" baseline="0">
                <a:solidFill>
                  <a:schemeClr val="bg1"/>
                </a:solidFill>
              </a:rPr>
              <a:t> </a:t>
            </a:r>
            <a:endParaRPr lang="en-US" b="1">
              <a:solidFill>
                <a:schemeClr val="bg1"/>
              </a:solidFill>
            </a:endParaRPr>
          </a:p>
        </c:rich>
      </c:tx>
      <c:layout>
        <c:manualLayout>
          <c:xMode val="edge"/>
          <c:yMode val="edge"/>
          <c:x val="0.36099264256689806"/>
          <c:y val="6.2250477294506024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lumMod val="75000"/>
            </a:schemeClr>
          </a:solidFill>
          <a:ln w="19050">
            <a:noFill/>
          </a:ln>
          <a:effectLst/>
        </c:spPr>
        <c:dLbl>
          <c:idx val="0"/>
          <c:layout>
            <c:manualLayout>
              <c:x val="-0.13473247915826572"/>
              <c:y val="0.24202642459236967"/>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noFill/>
          </a:ln>
          <a:effectLst/>
        </c:spPr>
        <c:dLbl>
          <c:idx val="0"/>
          <c:layout>
            <c:manualLayout>
              <c:x val="-0.14802855884202673"/>
              <c:y val="-0.17745895512328791"/>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noFill/>
          </a:ln>
          <a:effectLst/>
        </c:spPr>
        <c:dLbl>
          <c:idx val="0"/>
          <c:layout>
            <c:manualLayout>
              <c:x val="0.15453175880984543"/>
              <c:y val="-0.17708055064713549"/>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noFill/>
          </a:ln>
          <a:effectLst/>
        </c:spPr>
        <c:dLbl>
          <c:idx val="0"/>
          <c:layout>
            <c:manualLayout>
              <c:x val="0.14382547034436269"/>
              <c:y val="0.21883934720326251"/>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88709245906743"/>
                  <c:h val="0.1722946163140365"/>
                </c:manualLayout>
              </c15:layout>
            </c:ext>
          </c:extLst>
        </c:dLbl>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manualLayout>
          <c:layoutTarget val="inner"/>
          <c:xMode val="edge"/>
          <c:yMode val="edge"/>
          <c:x val="0.24059432882772938"/>
          <c:y val="0.11315274159434749"/>
          <c:w val="0.49856659817507737"/>
          <c:h val="0.85406037315975103"/>
        </c:manualLayout>
      </c:layout>
      <c:pieChart>
        <c:varyColors val="1"/>
        <c:ser>
          <c:idx val="0"/>
          <c:order val="0"/>
          <c:tx>
            <c:strRef>
              <c:f>Pivot!$F$19</c:f>
              <c:strCache>
                <c:ptCount val="1"/>
                <c:pt idx="0">
                  <c:v>Count of Ride ID</c:v>
                </c:pt>
              </c:strCache>
            </c:strRef>
          </c:tx>
          <c:spPr>
            <a:ln>
              <a:noFill/>
            </a:ln>
          </c:spPr>
          <c:dPt>
            <c:idx val="0"/>
            <c:bubble3D val="0"/>
            <c:spPr>
              <a:solidFill>
                <a:schemeClr val="accent6">
                  <a:lumMod val="75000"/>
                </a:schemeClr>
              </a:solidFill>
              <a:ln w="19050">
                <a:noFill/>
              </a:ln>
              <a:effectLst/>
            </c:spPr>
            <c:extLst>
              <c:ext xmlns:c16="http://schemas.microsoft.com/office/drawing/2014/chart" uri="{C3380CC4-5D6E-409C-BE32-E72D297353CC}">
                <c16:uniqueId val="{00000001-760D-4DE7-9461-92D5E8945703}"/>
              </c:ext>
            </c:extLst>
          </c:dPt>
          <c:dPt>
            <c:idx val="1"/>
            <c:bubble3D val="0"/>
            <c:spPr>
              <a:solidFill>
                <a:schemeClr val="accent2"/>
              </a:solidFill>
              <a:ln w="19050">
                <a:noFill/>
              </a:ln>
              <a:effectLst/>
            </c:spPr>
            <c:extLst>
              <c:ext xmlns:c16="http://schemas.microsoft.com/office/drawing/2014/chart" uri="{C3380CC4-5D6E-409C-BE32-E72D297353CC}">
                <c16:uniqueId val="{00000003-760D-4DE7-9461-92D5E8945703}"/>
              </c:ext>
            </c:extLst>
          </c:dPt>
          <c:dPt>
            <c:idx val="2"/>
            <c:bubble3D val="0"/>
            <c:spPr>
              <a:solidFill>
                <a:schemeClr val="accent3"/>
              </a:solidFill>
              <a:ln w="19050">
                <a:noFill/>
              </a:ln>
              <a:effectLst/>
            </c:spPr>
            <c:extLst>
              <c:ext xmlns:c16="http://schemas.microsoft.com/office/drawing/2014/chart" uri="{C3380CC4-5D6E-409C-BE32-E72D297353CC}">
                <c16:uniqueId val="{00000005-760D-4DE7-9461-92D5E8945703}"/>
              </c:ext>
            </c:extLst>
          </c:dPt>
          <c:dPt>
            <c:idx val="3"/>
            <c:bubble3D val="0"/>
            <c:spPr>
              <a:solidFill>
                <a:schemeClr val="accent4"/>
              </a:solidFill>
              <a:ln w="19050">
                <a:noFill/>
              </a:ln>
              <a:effectLst/>
            </c:spPr>
            <c:extLst>
              <c:ext xmlns:c16="http://schemas.microsoft.com/office/drawing/2014/chart" uri="{C3380CC4-5D6E-409C-BE32-E72D297353CC}">
                <c16:uniqueId val="{00000007-760D-4DE7-9461-92D5E8945703}"/>
              </c:ext>
            </c:extLst>
          </c:dPt>
          <c:dLbls>
            <c:dLbl>
              <c:idx val="0"/>
              <c:layout>
                <c:manualLayout>
                  <c:x val="-0.13473247915826572"/>
                  <c:y val="0.2420264245923696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60D-4DE7-9461-92D5E8945703}"/>
                </c:ext>
              </c:extLst>
            </c:dLbl>
            <c:dLbl>
              <c:idx val="1"/>
              <c:layout>
                <c:manualLayout>
                  <c:x val="-0.14802855884202673"/>
                  <c:y val="-0.1774589551232879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60D-4DE7-9461-92D5E8945703}"/>
                </c:ext>
              </c:extLst>
            </c:dLbl>
            <c:dLbl>
              <c:idx val="2"/>
              <c:layout>
                <c:manualLayout>
                  <c:x val="0.15453175880984543"/>
                  <c:y val="-0.1770805506471354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60D-4DE7-9461-92D5E8945703}"/>
                </c:ext>
              </c:extLst>
            </c:dLbl>
            <c:dLbl>
              <c:idx val="3"/>
              <c:layout>
                <c:manualLayout>
                  <c:x val="0.14382547034436269"/>
                  <c:y val="0.21883934720326251"/>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088709245906743"/>
                      <c:h val="0.1722946163140365"/>
                    </c:manualLayout>
                  </c15:layout>
                </c:ext>
                <c:ext xmlns:c16="http://schemas.microsoft.com/office/drawing/2014/chart" uri="{C3380CC4-5D6E-409C-BE32-E72D297353CC}">
                  <c16:uniqueId val="{00000007-760D-4DE7-9461-92D5E8945703}"/>
                </c:ext>
              </c:extLst>
            </c:dLbl>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Pivot!$E$20:$E$24</c:f>
              <c:strCache>
                <c:ptCount val="4"/>
                <c:pt idx="0">
                  <c:v>Daily Pass</c:v>
                </c:pt>
                <c:pt idx="1">
                  <c:v>Monthly Pass</c:v>
                </c:pt>
                <c:pt idx="2">
                  <c:v>Pay Per Ride</c:v>
                </c:pt>
                <c:pt idx="3">
                  <c:v>Yearly Pass</c:v>
                </c:pt>
              </c:strCache>
            </c:strRef>
          </c:cat>
          <c:val>
            <c:numRef>
              <c:f>Pivot!$F$20:$F$24</c:f>
              <c:numCache>
                <c:formatCode>General</c:formatCode>
                <c:ptCount val="4"/>
                <c:pt idx="0">
                  <c:v>18</c:v>
                </c:pt>
                <c:pt idx="1">
                  <c:v>11</c:v>
                </c:pt>
                <c:pt idx="2">
                  <c:v>14</c:v>
                </c:pt>
                <c:pt idx="3">
                  <c:v>15</c:v>
                </c:pt>
              </c:numCache>
            </c:numRef>
          </c:val>
          <c:extLst>
            <c:ext xmlns:c16="http://schemas.microsoft.com/office/drawing/2014/chart" uri="{C3380CC4-5D6E-409C-BE32-E72D297353CC}">
              <c16:uniqueId val="{00000008-760D-4DE7-9461-92D5E8945703}"/>
            </c:ext>
          </c:extLst>
        </c:ser>
        <c:ser>
          <c:idx val="1"/>
          <c:order val="1"/>
          <c:tx>
            <c:strRef>
              <c:f>Pivot!$G$19</c:f>
              <c:strCache>
                <c:ptCount val="1"/>
                <c:pt idx="0">
                  <c:v>Sum of Ride Cost (AED)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760D-4DE7-9461-92D5E89457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760D-4DE7-9461-92D5E89457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760D-4DE7-9461-92D5E89457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760D-4DE7-9461-92D5E894570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Pivot!$E$20:$E$24</c:f>
              <c:strCache>
                <c:ptCount val="4"/>
                <c:pt idx="0">
                  <c:v>Daily Pass</c:v>
                </c:pt>
                <c:pt idx="1">
                  <c:v>Monthly Pass</c:v>
                </c:pt>
                <c:pt idx="2">
                  <c:v>Pay Per Ride</c:v>
                </c:pt>
                <c:pt idx="3">
                  <c:v>Yearly Pass</c:v>
                </c:pt>
              </c:strCache>
            </c:strRef>
          </c:cat>
          <c:val>
            <c:numRef>
              <c:f>Pivot!$G$20:$G$24</c:f>
              <c:numCache>
                <c:formatCode>General</c:formatCode>
                <c:ptCount val="4"/>
                <c:pt idx="0">
                  <c:v>190.60000000000002</c:v>
                </c:pt>
                <c:pt idx="1">
                  <c:v>96.8</c:v>
                </c:pt>
                <c:pt idx="2">
                  <c:v>154.79999999999998</c:v>
                </c:pt>
                <c:pt idx="3">
                  <c:v>149.39999999999998</c:v>
                </c:pt>
              </c:numCache>
            </c:numRef>
          </c:val>
          <c:extLst>
            <c:ext xmlns:c16="http://schemas.microsoft.com/office/drawing/2014/chart" uri="{C3380CC4-5D6E-409C-BE32-E72D297353CC}">
              <c16:uniqueId val="{00000011-760D-4DE7-9461-92D5E8945703}"/>
            </c:ext>
          </c:extLst>
        </c:ser>
        <c:dLbls>
          <c:dLblPos val="ctr"/>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[Careem.xlsx]Pivot!PivotTable7</c:name>
    <c:fmtId val="2"/>
  </c:pivotSource>
  <c:chart>
    <c:title>
      <c:tx>
        <c:rich>
          <a:bodyPr rot="0" spcFirstLastPara="1" vertOverflow="ellipsis" vert="horz" wrap="square" anchor="ctr" anchorCtr="1"/>
          <a:lstStyle/>
          <a:p>
            <a:pPr>
              <a:defRPr sz="1260" b="1" i="0" u="none" strike="noStrike" kern="1200" spc="0" baseline="0">
                <a:solidFill>
                  <a:schemeClr val="bg1"/>
                </a:solidFill>
                <a:latin typeface="+mn-lt"/>
                <a:ea typeface="+mn-ea"/>
                <a:cs typeface="+mn-cs"/>
              </a:defRPr>
            </a:pPr>
            <a:r>
              <a:rPr lang="en-US"/>
              <a:t>Payment Type</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Pivot!$J$19</c:f>
              <c:strCache>
                <c:ptCount val="1"/>
                <c:pt idx="0">
                  <c:v>Count of Ride ID</c:v>
                </c:pt>
              </c:strCache>
            </c:strRef>
          </c:tx>
          <c:spPr>
            <a:solidFill>
              <a:schemeClr val="accent1"/>
            </a:solidFill>
            <a:ln>
              <a:noFill/>
            </a:ln>
            <a:effectLst/>
          </c:spPr>
          <c:invertIfNegative val="0"/>
          <c:cat>
            <c:strRef>
              <c:f>Pivot!$I$20:$I$21</c:f>
              <c:strCache>
                <c:ptCount val="1"/>
                <c:pt idx="0">
                  <c:v>Wallet</c:v>
                </c:pt>
              </c:strCache>
            </c:strRef>
          </c:cat>
          <c:val>
            <c:numRef>
              <c:f>Pivot!$J$20:$J$21</c:f>
              <c:numCache>
                <c:formatCode>0.00</c:formatCode>
                <c:ptCount val="1"/>
                <c:pt idx="0">
                  <c:v>58</c:v>
                </c:pt>
              </c:numCache>
            </c:numRef>
          </c:val>
          <c:extLst>
            <c:ext xmlns:c16="http://schemas.microsoft.com/office/drawing/2014/chart" uri="{C3380CC4-5D6E-409C-BE32-E72D297353CC}">
              <c16:uniqueId val="{00000000-9689-4549-97A0-007262FE3F36}"/>
            </c:ext>
          </c:extLst>
        </c:ser>
        <c:ser>
          <c:idx val="1"/>
          <c:order val="1"/>
          <c:tx>
            <c:strRef>
              <c:f>Pivot!$K$19</c:f>
              <c:strCache>
                <c:ptCount val="1"/>
                <c:pt idx="0">
                  <c:v>Sum of Ride Cost (AED)</c:v>
                </c:pt>
              </c:strCache>
            </c:strRef>
          </c:tx>
          <c:spPr>
            <a:solidFill>
              <a:schemeClr val="accent2"/>
            </a:solidFill>
            <a:ln>
              <a:noFill/>
            </a:ln>
            <a:effectLst/>
          </c:spPr>
          <c:invertIfNegative val="0"/>
          <c:cat>
            <c:strRef>
              <c:f>Pivot!$I$20:$I$21</c:f>
              <c:strCache>
                <c:ptCount val="1"/>
                <c:pt idx="0">
                  <c:v>Wallet</c:v>
                </c:pt>
              </c:strCache>
            </c:strRef>
          </c:cat>
          <c:val>
            <c:numRef>
              <c:f>Pivot!$K$20:$K$21</c:f>
              <c:numCache>
                <c:formatCode>0.00</c:formatCode>
                <c:ptCount val="1"/>
                <c:pt idx="0">
                  <c:v>591.6</c:v>
                </c:pt>
              </c:numCache>
            </c:numRef>
          </c:val>
          <c:extLst>
            <c:ext xmlns:c16="http://schemas.microsoft.com/office/drawing/2014/chart" uri="{C3380CC4-5D6E-409C-BE32-E72D297353CC}">
              <c16:uniqueId val="{00000001-9689-4549-97A0-007262FE3F36}"/>
            </c:ext>
          </c:extLst>
        </c:ser>
        <c:dLbls>
          <c:showLegendKey val="0"/>
          <c:showVal val="0"/>
          <c:showCatName val="0"/>
          <c:showSerName val="0"/>
          <c:showPercent val="0"/>
          <c:showBubbleSize val="0"/>
        </c:dLbls>
        <c:gapWidth val="182"/>
        <c:axId val="252904480"/>
        <c:axId val="252899488"/>
      </c:barChart>
      <c:catAx>
        <c:axId val="252904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252899488"/>
        <c:crosses val="autoZero"/>
        <c:auto val="1"/>
        <c:lblAlgn val="ctr"/>
        <c:lblOffset val="100"/>
        <c:noMultiLvlLbl val="0"/>
      </c:catAx>
      <c:valAx>
        <c:axId val="25289948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25290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sz="105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[Careem.xlsx]Pivot!PivotTable8</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Month Wise Payment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Pivot!$O$19</c:f>
              <c:strCache>
                <c:ptCount val="1"/>
                <c:pt idx="0">
                  <c:v>Sum of Ride Cost (AED)</c:v>
                </c:pt>
              </c:strCache>
            </c:strRef>
          </c:tx>
          <c:spPr>
            <a:ln w="28575" cap="rnd">
              <a:solidFill>
                <a:schemeClr val="bg1"/>
              </a:solidFill>
              <a:round/>
            </a:ln>
            <a:effectLst/>
          </c:spPr>
          <c:marker>
            <c:symbol val="none"/>
          </c:marker>
          <c:cat>
            <c:strRef>
              <c:f>Pivot!$N$20:$N$32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Pivot!$O$20:$O$32</c:f>
              <c:numCache>
                <c:formatCode>0.00</c:formatCode>
                <c:ptCount val="12"/>
                <c:pt idx="0">
                  <c:v>65.8</c:v>
                </c:pt>
                <c:pt idx="1">
                  <c:v>23</c:v>
                </c:pt>
                <c:pt idx="2">
                  <c:v>8.6</c:v>
                </c:pt>
                <c:pt idx="3">
                  <c:v>108.60000000000001</c:v>
                </c:pt>
                <c:pt idx="4">
                  <c:v>50.800000000000004</c:v>
                </c:pt>
                <c:pt idx="5">
                  <c:v>46.4</c:v>
                </c:pt>
                <c:pt idx="6">
                  <c:v>38.799999999999997</c:v>
                </c:pt>
                <c:pt idx="7">
                  <c:v>12.8</c:v>
                </c:pt>
                <c:pt idx="8">
                  <c:v>20.2</c:v>
                </c:pt>
                <c:pt idx="9">
                  <c:v>93.8</c:v>
                </c:pt>
                <c:pt idx="10">
                  <c:v>98.600000000000009</c:v>
                </c:pt>
                <c:pt idx="11">
                  <c:v>24.2</c:v>
                </c:pt>
              </c:numCache>
            </c:numRef>
          </c:val>
          <c:smooth val="0"/>
          <c:extLst>
            <c:ext xmlns:c16="http://schemas.microsoft.com/office/drawing/2014/chart" uri="{C3380CC4-5D6E-409C-BE32-E72D297353CC}">
              <c16:uniqueId val="{00000000-291F-4EAF-86D4-C74759888C71}"/>
            </c:ext>
          </c:extLst>
        </c:ser>
        <c:ser>
          <c:idx val="1"/>
          <c:order val="1"/>
          <c:tx>
            <c:strRef>
              <c:f>Pivot!$P$19</c:f>
              <c:strCache>
                <c:ptCount val="1"/>
                <c:pt idx="0">
                  <c:v>Count of Ride ID</c:v>
                </c:pt>
              </c:strCache>
            </c:strRef>
          </c:tx>
          <c:spPr>
            <a:ln w="28575" cap="rnd">
              <a:solidFill>
                <a:schemeClr val="accent2"/>
              </a:solidFill>
              <a:round/>
            </a:ln>
            <a:effectLst/>
          </c:spPr>
          <c:marker>
            <c:symbol val="none"/>
          </c:marker>
          <c:cat>
            <c:strRef>
              <c:f>Pivot!$N$20:$N$32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Pivot!$P$20:$P$32</c:f>
              <c:numCache>
                <c:formatCode>0.00</c:formatCode>
                <c:ptCount val="12"/>
                <c:pt idx="0">
                  <c:v>6</c:v>
                </c:pt>
                <c:pt idx="1">
                  <c:v>3</c:v>
                </c:pt>
                <c:pt idx="2">
                  <c:v>1</c:v>
                </c:pt>
                <c:pt idx="3">
                  <c:v>9</c:v>
                </c:pt>
                <c:pt idx="4">
                  <c:v>6</c:v>
                </c:pt>
                <c:pt idx="5">
                  <c:v>5</c:v>
                </c:pt>
                <c:pt idx="6">
                  <c:v>3</c:v>
                </c:pt>
                <c:pt idx="7">
                  <c:v>1</c:v>
                </c:pt>
                <c:pt idx="8">
                  <c:v>2</c:v>
                </c:pt>
                <c:pt idx="9">
                  <c:v>9</c:v>
                </c:pt>
                <c:pt idx="10">
                  <c:v>10</c:v>
                </c:pt>
                <c:pt idx="11">
                  <c:v>3</c:v>
                </c:pt>
              </c:numCache>
            </c:numRef>
          </c:val>
          <c:smooth val="0"/>
          <c:extLst>
            <c:ext xmlns:c16="http://schemas.microsoft.com/office/drawing/2014/chart" uri="{C3380CC4-5D6E-409C-BE32-E72D297353CC}">
              <c16:uniqueId val="{00000001-291F-4EAF-86D4-C74759888C71}"/>
            </c:ext>
          </c:extLst>
        </c:ser>
        <c:dLbls>
          <c:showLegendKey val="0"/>
          <c:showVal val="0"/>
          <c:showCatName val="0"/>
          <c:showSerName val="0"/>
          <c:showPercent val="0"/>
          <c:showBubbleSize val="0"/>
        </c:dLbls>
        <c:smooth val="0"/>
        <c:axId val="610286096"/>
        <c:axId val="610286512"/>
      </c:lineChart>
      <c:catAx>
        <c:axId val="61028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0286512"/>
        <c:crosses val="autoZero"/>
        <c:auto val="1"/>
        <c:lblAlgn val="ctr"/>
        <c:lblOffset val="100"/>
        <c:noMultiLvlLbl val="0"/>
      </c:catAx>
      <c:valAx>
        <c:axId val="610286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028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[Careem.xlsx]Pivot!PivotTable9</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Peak Riding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Pivot!$T$19</c:f>
              <c:strCache>
                <c:ptCount val="1"/>
                <c:pt idx="0">
                  <c:v>Total</c:v>
                </c:pt>
              </c:strCache>
            </c:strRef>
          </c:tx>
          <c:spPr>
            <a:solidFill>
              <a:schemeClr val="accent2"/>
            </a:solidFill>
            <a:ln>
              <a:noFill/>
            </a:ln>
            <a:effectLst/>
          </c:spPr>
          <c:invertIfNegative val="0"/>
          <c:cat>
            <c:strRef>
              <c:f>Pivot!$S$20:$S$32</c:f>
              <c:strCache>
                <c:ptCount val="12"/>
                <c:pt idx="0">
                  <c:v>Nov</c:v>
                </c:pt>
                <c:pt idx="1">
                  <c:v>Oct</c:v>
                </c:pt>
                <c:pt idx="2">
                  <c:v>Apr</c:v>
                </c:pt>
                <c:pt idx="3">
                  <c:v>Jan</c:v>
                </c:pt>
                <c:pt idx="4">
                  <c:v>May</c:v>
                </c:pt>
                <c:pt idx="5">
                  <c:v>Jun</c:v>
                </c:pt>
                <c:pt idx="6">
                  <c:v>Dec</c:v>
                </c:pt>
                <c:pt idx="7">
                  <c:v>Feb</c:v>
                </c:pt>
                <c:pt idx="8">
                  <c:v>Jul</c:v>
                </c:pt>
                <c:pt idx="9">
                  <c:v>Sep</c:v>
                </c:pt>
                <c:pt idx="10">
                  <c:v>Mar</c:v>
                </c:pt>
                <c:pt idx="11">
                  <c:v>Aug</c:v>
                </c:pt>
              </c:strCache>
            </c:strRef>
          </c:cat>
          <c:val>
            <c:numRef>
              <c:f>Pivot!$T$20:$T$32</c:f>
              <c:numCache>
                <c:formatCode>0.00</c:formatCode>
                <c:ptCount val="12"/>
                <c:pt idx="0">
                  <c:v>10</c:v>
                </c:pt>
                <c:pt idx="1">
                  <c:v>9</c:v>
                </c:pt>
                <c:pt idx="2">
                  <c:v>9</c:v>
                </c:pt>
                <c:pt idx="3">
                  <c:v>6</c:v>
                </c:pt>
                <c:pt idx="4">
                  <c:v>6</c:v>
                </c:pt>
                <c:pt idx="5">
                  <c:v>5</c:v>
                </c:pt>
                <c:pt idx="6">
                  <c:v>3</c:v>
                </c:pt>
                <c:pt idx="7">
                  <c:v>3</c:v>
                </c:pt>
                <c:pt idx="8">
                  <c:v>3</c:v>
                </c:pt>
                <c:pt idx="9">
                  <c:v>2</c:v>
                </c:pt>
                <c:pt idx="10">
                  <c:v>1</c:v>
                </c:pt>
                <c:pt idx="11">
                  <c:v>1</c:v>
                </c:pt>
              </c:numCache>
            </c:numRef>
          </c:val>
          <c:extLst>
            <c:ext xmlns:c16="http://schemas.microsoft.com/office/drawing/2014/chart" uri="{C3380CC4-5D6E-409C-BE32-E72D297353CC}">
              <c16:uniqueId val="{00000000-170C-463D-90DA-BA1BE76D0911}"/>
            </c:ext>
          </c:extLst>
        </c:ser>
        <c:dLbls>
          <c:showLegendKey val="0"/>
          <c:showVal val="0"/>
          <c:showCatName val="0"/>
          <c:showSerName val="0"/>
          <c:showPercent val="0"/>
          <c:showBubbleSize val="0"/>
        </c:dLbls>
        <c:gapWidth val="219"/>
        <c:overlap val="-27"/>
        <c:axId val="2054966544"/>
        <c:axId val="1759105600"/>
      </c:barChart>
      <c:catAx>
        <c:axId val="205496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59105600"/>
        <c:crosses val="autoZero"/>
        <c:auto val="1"/>
        <c:lblAlgn val="ctr"/>
        <c:lblOffset val="100"/>
        <c:noMultiLvlLbl val="0"/>
      </c:catAx>
      <c:valAx>
        <c:axId val="1759105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5496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[Careem.xlsx]Pivot!PivotTable10</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Most profitable Subscription</a:t>
            </a:r>
          </a:p>
        </c:rich>
      </c:tx>
      <c:layout>
        <c:manualLayout>
          <c:xMode val="edge"/>
          <c:yMode val="edge"/>
          <c:x val="0.17350673979500841"/>
          <c:y val="4.15579591984636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Pivot!$B$40</c:f>
              <c:strCache>
                <c:ptCount val="1"/>
                <c:pt idx="0">
                  <c:v>Total</c:v>
                </c:pt>
              </c:strCache>
            </c:strRef>
          </c:tx>
          <c:spPr>
            <a:solidFill>
              <a:schemeClr val="accent2"/>
            </a:solidFill>
            <a:ln>
              <a:noFill/>
            </a:ln>
            <a:effectLst/>
          </c:spPr>
          <c:invertIfNegative val="0"/>
          <c:cat>
            <c:strRef>
              <c:f>Pivot!$A$41:$A$45</c:f>
              <c:strCache>
                <c:ptCount val="4"/>
                <c:pt idx="0">
                  <c:v>Daily Pass</c:v>
                </c:pt>
                <c:pt idx="1">
                  <c:v>Pay Per Ride</c:v>
                </c:pt>
                <c:pt idx="2">
                  <c:v>Yearly Pass</c:v>
                </c:pt>
                <c:pt idx="3">
                  <c:v>Monthly Pass</c:v>
                </c:pt>
              </c:strCache>
            </c:strRef>
          </c:cat>
          <c:val>
            <c:numRef>
              <c:f>Pivot!$B$41:$B$45</c:f>
              <c:numCache>
                <c:formatCode>0.00</c:formatCode>
                <c:ptCount val="4"/>
                <c:pt idx="0">
                  <c:v>190.60000000000002</c:v>
                </c:pt>
                <c:pt idx="1">
                  <c:v>154.79999999999998</c:v>
                </c:pt>
                <c:pt idx="2">
                  <c:v>149.39999999999998</c:v>
                </c:pt>
                <c:pt idx="3">
                  <c:v>96.8</c:v>
                </c:pt>
              </c:numCache>
            </c:numRef>
          </c:val>
          <c:extLst>
            <c:ext xmlns:c16="http://schemas.microsoft.com/office/drawing/2014/chart" uri="{C3380CC4-5D6E-409C-BE32-E72D297353CC}">
              <c16:uniqueId val="{00000000-6E2D-48BF-A5C2-0245EF9BA91B}"/>
            </c:ext>
          </c:extLst>
        </c:ser>
        <c:dLbls>
          <c:showLegendKey val="0"/>
          <c:showVal val="0"/>
          <c:showCatName val="0"/>
          <c:showSerName val="0"/>
          <c:showPercent val="0"/>
          <c:showBubbleSize val="0"/>
        </c:dLbls>
        <c:gapWidth val="182"/>
        <c:axId val="1420947728"/>
        <c:axId val="1420951472"/>
      </c:barChart>
      <c:catAx>
        <c:axId val="142094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0951472"/>
        <c:crosses val="autoZero"/>
        <c:auto val="1"/>
        <c:lblAlgn val="ctr"/>
        <c:lblOffset val="100"/>
        <c:noMultiLvlLbl val="0"/>
      </c:catAx>
      <c:valAx>
        <c:axId val="142095147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0947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5.png"/><Relationship Id="rId3" Type="http://schemas.openxmlformats.org/officeDocument/2006/relationships/image" Target="../media/image2.svg"/><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image" Target="../media/image1.png"/><Relationship Id="rId1" Type="http://schemas.openxmlformats.org/officeDocument/2006/relationships/hyperlink" Target="#Pivot!A1"/><Relationship Id="rId6" Type="http://schemas.openxmlformats.org/officeDocument/2006/relationships/image" Target="../media/image4.svg"/><Relationship Id="rId11" Type="http://schemas.openxmlformats.org/officeDocument/2006/relationships/chart" Target="../charts/chart11.xml"/><Relationship Id="rId5" Type="http://schemas.openxmlformats.org/officeDocument/2006/relationships/image" Target="../media/image3.png"/><Relationship Id="rId10" Type="http://schemas.openxmlformats.org/officeDocument/2006/relationships/chart" Target="../charts/chart10.xml"/><Relationship Id="rId4" Type="http://schemas.openxmlformats.org/officeDocument/2006/relationships/hyperlink" Target="#'Careem_Bike_Data'!A1"/><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66675</xdr:rowOff>
    </xdr:from>
    <xdr:to>
      <xdr:col>1</xdr:col>
      <xdr:colOff>672533</xdr:colOff>
      <xdr:row>5</xdr:row>
      <xdr:rowOff>152400</xdr:rowOff>
    </xdr:to>
    <mc:AlternateContent xmlns:mc="http://schemas.openxmlformats.org/markup-compatibility/2006" xmlns:a14="http://schemas.microsoft.com/office/drawing/2010/main">
      <mc:Choice Requires="a14">
        <xdr:graphicFrame macro="">
          <xdr:nvGraphicFramePr>
            <xdr:cNvPr id="4" name="Ride Type">
              <a:extLst>
                <a:ext uri="{FF2B5EF4-FFF2-40B4-BE49-F238E27FC236}">
                  <a16:creationId xmlns:a16="http://schemas.microsoft.com/office/drawing/2014/main" id="{5934D16A-1882-48DA-9191-7BB9515157C9}"/>
                </a:ext>
              </a:extLst>
            </xdr:cNvPr>
            <xdr:cNvGraphicFramePr/>
          </xdr:nvGraphicFramePr>
          <xdr:xfrm>
            <a:off x="0" y="0"/>
            <a:ext cx="0" cy="0"/>
          </xdr:xfrm>
          <a:graphic>
            <a:graphicData uri="http://schemas.microsoft.com/office/drawing/2010/slicer">
              <sle:slicer xmlns:sle="http://schemas.microsoft.com/office/drawing/2010/slicer" name="Ride Type"/>
            </a:graphicData>
          </a:graphic>
        </xdr:graphicFrame>
      </mc:Choice>
      <mc:Fallback xmlns="">
        <xdr:sp macro="" textlink="">
          <xdr:nvSpPr>
            <xdr:cNvPr id="0" name=""/>
            <xdr:cNvSpPr>
              <a:spLocks noTextEdit="1"/>
            </xdr:cNvSpPr>
          </xdr:nvSpPr>
          <xdr:spPr>
            <a:xfrm>
              <a:off x="38100" y="66675"/>
              <a:ext cx="1833563" cy="1038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xdr:colOff>
      <xdr:row>0</xdr:row>
      <xdr:rowOff>38100</xdr:rowOff>
    </xdr:from>
    <xdr:to>
      <xdr:col>5</xdr:col>
      <xdr:colOff>102734</xdr:colOff>
      <xdr:row>6</xdr:row>
      <xdr:rowOff>47625</xdr:rowOff>
    </xdr:to>
    <mc:AlternateContent xmlns:mc="http://schemas.openxmlformats.org/markup-compatibility/2006" xmlns:a14="http://schemas.microsoft.com/office/drawing/2010/main">
      <mc:Choice Requires="a14">
        <xdr:graphicFrame macro="">
          <xdr:nvGraphicFramePr>
            <xdr:cNvPr id="5" name="Payment Method">
              <a:extLst>
                <a:ext uri="{FF2B5EF4-FFF2-40B4-BE49-F238E27FC236}">
                  <a16:creationId xmlns:a16="http://schemas.microsoft.com/office/drawing/2014/main" id="{C26E72BA-AF9B-483C-A3BA-5DF42F48718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3552825" y="38100"/>
              <a:ext cx="1831181" cy="1152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22</xdr:row>
      <xdr:rowOff>123824</xdr:rowOff>
    </xdr:from>
    <xdr:to>
      <xdr:col>2</xdr:col>
      <xdr:colOff>1202531</xdr:colOff>
      <xdr:row>33</xdr:row>
      <xdr:rowOff>142875</xdr:rowOff>
    </xdr:to>
    <xdr:graphicFrame macro="">
      <xdr:nvGraphicFramePr>
        <xdr:cNvPr id="6" name="Chart 5">
          <a:extLst>
            <a:ext uri="{FF2B5EF4-FFF2-40B4-BE49-F238E27FC236}">
              <a16:creationId xmlns:a16="http://schemas.microsoft.com/office/drawing/2014/main" id="{F347EA71-43FC-4390-AF57-FC52390F02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190500</xdr:colOff>
      <xdr:row>22</xdr:row>
      <xdr:rowOff>104774</xdr:rowOff>
    </xdr:from>
    <xdr:to>
      <xdr:col>6</xdr:col>
      <xdr:colOff>1133475</xdr:colOff>
      <xdr:row>34</xdr:row>
      <xdr:rowOff>47625</xdr:rowOff>
    </xdr:to>
    <xdr:graphicFrame macro="">
      <xdr:nvGraphicFramePr>
        <xdr:cNvPr id="7" name="Chart 6">
          <a:extLst>
            <a:ext uri="{FF2B5EF4-FFF2-40B4-BE49-F238E27FC236}">
              <a16:creationId xmlns:a16="http://schemas.microsoft.com/office/drawing/2014/main" id="{6E09B41E-AB66-4BC0-BF84-F55507F08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375046</xdr:colOff>
      <xdr:row>24</xdr:row>
      <xdr:rowOff>59531</xdr:rowOff>
    </xdr:from>
    <xdr:to>
      <xdr:col>10</xdr:col>
      <xdr:colOff>892968</xdr:colOff>
      <xdr:row>32</xdr:row>
      <xdr:rowOff>103583</xdr:rowOff>
    </xdr:to>
    <xdr:graphicFrame macro="">
      <xdr:nvGraphicFramePr>
        <xdr:cNvPr id="8" name="Chart 7">
          <a:extLst>
            <a:ext uri="{FF2B5EF4-FFF2-40B4-BE49-F238E27FC236}">
              <a16:creationId xmlns:a16="http://schemas.microsoft.com/office/drawing/2014/main" id="{9A923D1B-F6C3-4FC5-9D4D-9B089E8E2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482202</xdr:colOff>
      <xdr:row>23</xdr:row>
      <xdr:rowOff>95251</xdr:rowOff>
    </xdr:from>
    <xdr:to>
      <xdr:col>15</xdr:col>
      <xdr:colOff>654843</xdr:colOff>
      <xdr:row>33</xdr:row>
      <xdr:rowOff>44053</xdr:rowOff>
    </xdr:to>
    <xdr:graphicFrame macro="">
      <xdr:nvGraphicFramePr>
        <xdr:cNvPr id="9" name="Chart 8">
          <a:extLst>
            <a:ext uri="{FF2B5EF4-FFF2-40B4-BE49-F238E27FC236}">
              <a16:creationId xmlns:a16="http://schemas.microsoft.com/office/drawing/2014/main" id="{BE6414D2-45CB-4342-A124-64BD77A41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11906</xdr:colOff>
      <xdr:row>11</xdr:row>
      <xdr:rowOff>1</xdr:rowOff>
    </xdr:from>
    <xdr:to>
      <xdr:col>1</xdr:col>
      <xdr:colOff>440531</xdr:colOff>
      <xdr:row>14</xdr:row>
      <xdr:rowOff>1</xdr:rowOff>
    </xdr:to>
    <xdr:sp macro="" textlink="$A$9">
      <xdr:nvSpPr>
        <xdr:cNvPr id="10" name="Rectangle 9">
          <a:extLst>
            <a:ext uri="{FF2B5EF4-FFF2-40B4-BE49-F238E27FC236}">
              <a16:creationId xmlns:a16="http://schemas.microsoft.com/office/drawing/2014/main" id="{B826A884-B912-407B-9AF2-6247F3097968}"/>
            </a:ext>
          </a:extLst>
        </xdr:cNvPr>
        <xdr:cNvSpPr/>
      </xdr:nvSpPr>
      <xdr:spPr>
        <a:xfrm>
          <a:off x="11906" y="2095501"/>
          <a:ext cx="1476375" cy="5715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0B2C856-4946-4B54-B6FF-367F0D6EB08B}" type="TxLink">
            <a:rPr lang="en-US" sz="1100" b="1" i="0" u="none" strike="noStrike">
              <a:solidFill>
                <a:srgbClr val="000000"/>
              </a:solidFill>
              <a:latin typeface="Calibri"/>
              <a:cs typeface="Calibri"/>
            </a:rPr>
            <a:pPr algn="ctr"/>
            <a:t>58</a:t>
          </a:fld>
          <a:endParaRPr lang="en-US" sz="1100" b="1"/>
        </a:p>
      </xdr:txBody>
    </xdr:sp>
    <xdr:clientData/>
  </xdr:twoCellAnchor>
  <xdr:twoCellAnchor>
    <xdr:from>
      <xdr:col>2</xdr:col>
      <xdr:colOff>11906</xdr:colOff>
      <xdr:row>11</xdr:row>
      <xdr:rowOff>1</xdr:rowOff>
    </xdr:from>
    <xdr:to>
      <xdr:col>3</xdr:col>
      <xdr:colOff>0</xdr:colOff>
      <xdr:row>14</xdr:row>
      <xdr:rowOff>1</xdr:rowOff>
    </xdr:to>
    <xdr:sp macro="" textlink="$C$9">
      <xdr:nvSpPr>
        <xdr:cNvPr id="11" name="Rectangle 10">
          <a:extLst>
            <a:ext uri="{FF2B5EF4-FFF2-40B4-BE49-F238E27FC236}">
              <a16:creationId xmlns:a16="http://schemas.microsoft.com/office/drawing/2014/main" id="{A983D340-3685-4C30-A64E-8ECBBA42C627}"/>
            </a:ext>
          </a:extLst>
        </xdr:cNvPr>
        <xdr:cNvSpPr/>
      </xdr:nvSpPr>
      <xdr:spPr>
        <a:xfrm>
          <a:off x="2107406" y="2095501"/>
          <a:ext cx="1476375" cy="5715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BD21497-5B11-4806-B4E2-CE44E3E47BA1}" type="TxLink">
            <a:rPr lang="en-US" sz="1100" b="1" i="0" u="none" strike="noStrike">
              <a:solidFill>
                <a:srgbClr val="000000"/>
              </a:solidFill>
              <a:latin typeface="Calibri"/>
              <a:cs typeface="Calibri"/>
            </a:rPr>
            <a:pPr algn="ctr"/>
            <a:t>591.6</a:t>
          </a:fld>
          <a:endParaRPr lang="en-US" sz="1100" b="1"/>
        </a:p>
      </xdr:txBody>
    </xdr:sp>
    <xdr:clientData/>
  </xdr:twoCellAnchor>
  <xdr:twoCellAnchor>
    <xdr:from>
      <xdr:col>4</xdr:col>
      <xdr:colOff>119062</xdr:colOff>
      <xdr:row>10</xdr:row>
      <xdr:rowOff>178595</xdr:rowOff>
    </xdr:from>
    <xdr:to>
      <xdr:col>4</xdr:col>
      <xdr:colOff>1595437</xdr:colOff>
      <xdr:row>13</xdr:row>
      <xdr:rowOff>178595</xdr:rowOff>
    </xdr:to>
    <xdr:sp macro="" textlink="$E$9">
      <xdr:nvSpPr>
        <xdr:cNvPr id="12" name="Rectangle 11">
          <a:extLst>
            <a:ext uri="{FF2B5EF4-FFF2-40B4-BE49-F238E27FC236}">
              <a16:creationId xmlns:a16="http://schemas.microsoft.com/office/drawing/2014/main" id="{4EBDCB4A-A8AA-4D4B-A174-FD3745F96B5B}"/>
            </a:ext>
          </a:extLst>
        </xdr:cNvPr>
        <xdr:cNvSpPr/>
      </xdr:nvSpPr>
      <xdr:spPr>
        <a:xfrm>
          <a:off x="4310062" y="2083595"/>
          <a:ext cx="1476375" cy="5715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69C2D92-2358-41A1-90D7-6111AF108194}" type="TxLink">
            <a:rPr lang="en-US" sz="1100" b="1" i="0" u="none" strike="noStrike">
              <a:solidFill>
                <a:srgbClr val="000000"/>
              </a:solidFill>
              <a:latin typeface="Calibri"/>
              <a:cs typeface="Calibri"/>
            </a:rPr>
            <a:pPr algn="ctr"/>
            <a:t>36.00</a:t>
          </a:fld>
          <a:endParaRPr lang="en-US" sz="1100" b="1"/>
        </a:p>
      </xdr:txBody>
    </xdr:sp>
    <xdr:clientData/>
  </xdr:twoCellAnchor>
  <xdr:twoCellAnchor>
    <xdr:from>
      <xdr:col>5</xdr:col>
      <xdr:colOff>988219</xdr:colOff>
      <xdr:row>11</xdr:row>
      <xdr:rowOff>23814</xdr:rowOff>
    </xdr:from>
    <xdr:to>
      <xdr:col>6</xdr:col>
      <xdr:colOff>1416844</xdr:colOff>
      <xdr:row>14</xdr:row>
      <xdr:rowOff>23814</xdr:rowOff>
    </xdr:to>
    <xdr:sp macro="" textlink="$G$9">
      <xdr:nvSpPr>
        <xdr:cNvPr id="13" name="Rectangle 12">
          <a:extLst>
            <a:ext uri="{FF2B5EF4-FFF2-40B4-BE49-F238E27FC236}">
              <a16:creationId xmlns:a16="http://schemas.microsoft.com/office/drawing/2014/main" id="{257BC949-8AFD-43D7-862C-8BEE0D377124}"/>
            </a:ext>
          </a:extLst>
        </xdr:cNvPr>
        <xdr:cNvSpPr/>
      </xdr:nvSpPr>
      <xdr:spPr>
        <a:xfrm>
          <a:off x="7417594" y="2119314"/>
          <a:ext cx="1476375" cy="5715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B4A7A7A-C8B8-4822-BFA7-34BD90A6B39F}" type="TxLink">
            <a:rPr lang="en-US" sz="1100" b="1" i="0" u="none" strike="noStrike">
              <a:solidFill>
                <a:srgbClr val="000000"/>
              </a:solidFill>
              <a:latin typeface="Calibri"/>
              <a:cs typeface="Calibri"/>
            </a:rPr>
            <a:pPr algn="ctr"/>
            <a:t>7.44</a:t>
          </a:fld>
          <a:endParaRPr lang="en-US" sz="1100" b="1"/>
        </a:p>
      </xdr:txBody>
    </xdr:sp>
    <xdr:clientData/>
  </xdr:twoCellAnchor>
  <xdr:twoCellAnchor>
    <xdr:from>
      <xdr:col>17</xdr:col>
      <xdr:colOff>279796</xdr:colOff>
      <xdr:row>29</xdr:row>
      <xdr:rowOff>47625</xdr:rowOff>
    </xdr:from>
    <xdr:to>
      <xdr:col>20</xdr:col>
      <xdr:colOff>238125</xdr:colOff>
      <xdr:row>39</xdr:row>
      <xdr:rowOff>91677</xdr:rowOff>
    </xdr:to>
    <xdr:graphicFrame macro="">
      <xdr:nvGraphicFramePr>
        <xdr:cNvPr id="2" name="Chart 1">
          <a:extLst>
            <a:ext uri="{FF2B5EF4-FFF2-40B4-BE49-F238E27FC236}">
              <a16:creationId xmlns:a16="http://schemas.microsoft.com/office/drawing/2014/main" id="{A40FE5A8-43E9-4C87-B72D-8FCC40759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81643</xdr:colOff>
      <xdr:row>46</xdr:row>
      <xdr:rowOff>57149</xdr:rowOff>
    </xdr:from>
    <xdr:to>
      <xdr:col>2</xdr:col>
      <xdr:colOff>326571</xdr:colOff>
      <xdr:row>55</xdr:row>
      <xdr:rowOff>108857</xdr:rowOff>
    </xdr:to>
    <xdr:graphicFrame macro="">
      <xdr:nvGraphicFramePr>
        <xdr:cNvPr id="3" name="Chart 2">
          <a:extLst>
            <a:ext uri="{FF2B5EF4-FFF2-40B4-BE49-F238E27FC236}">
              <a16:creationId xmlns:a16="http://schemas.microsoft.com/office/drawing/2014/main" id="{DA947879-3A22-46E8-BFD4-DA1FF8E4A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104775</xdr:colOff>
      <xdr:row>0</xdr:row>
      <xdr:rowOff>57149</xdr:rowOff>
    </xdr:from>
    <xdr:to>
      <xdr:col>8</xdr:col>
      <xdr:colOff>163286</xdr:colOff>
      <xdr:row>3</xdr:row>
      <xdr:rowOff>104774</xdr:rowOff>
    </xdr:to>
    <xdr:sp macro="" textlink="">
      <xdr:nvSpPr>
        <xdr:cNvPr id="2" name="Rectangle 1">
          <a:extLst>
            <a:ext uri="{FF2B5EF4-FFF2-40B4-BE49-F238E27FC236}">
              <a16:creationId xmlns:a16="http://schemas.microsoft.com/office/drawing/2014/main" id="{846D9030-9D3A-450C-835C-F52E376F121F}"/>
            </a:ext>
          </a:extLst>
        </xdr:cNvPr>
        <xdr:cNvSpPr/>
      </xdr:nvSpPr>
      <xdr:spPr>
        <a:xfrm>
          <a:off x="104775" y="57149"/>
          <a:ext cx="4957082" cy="619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4400" b="1"/>
            <a:t>Speeda Group</a:t>
          </a:r>
        </a:p>
      </xdr:txBody>
    </xdr:sp>
    <xdr:clientData/>
  </xdr:twoCellAnchor>
  <xdr:twoCellAnchor>
    <xdr:from>
      <xdr:col>8</xdr:col>
      <xdr:colOff>272903</xdr:colOff>
      <xdr:row>0</xdr:row>
      <xdr:rowOff>54429</xdr:rowOff>
    </xdr:from>
    <xdr:to>
      <xdr:col>27</xdr:col>
      <xdr:colOff>557892</xdr:colOff>
      <xdr:row>3</xdr:row>
      <xdr:rowOff>100115</xdr:rowOff>
    </xdr:to>
    <xdr:sp macro="" textlink="">
      <xdr:nvSpPr>
        <xdr:cNvPr id="5" name="Rectangle 4">
          <a:extLst>
            <a:ext uri="{FF2B5EF4-FFF2-40B4-BE49-F238E27FC236}">
              <a16:creationId xmlns:a16="http://schemas.microsoft.com/office/drawing/2014/main" id="{2364681C-641A-4FC8-8016-0E7433C958F2}"/>
            </a:ext>
          </a:extLst>
        </xdr:cNvPr>
        <xdr:cNvSpPr/>
      </xdr:nvSpPr>
      <xdr:spPr>
        <a:xfrm>
          <a:off x="5171474" y="54429"/>
          <a:ext cx="11919097" cy="61718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b="1"/>
            <a:t>Sales Dashboard (2024)</a:t>
          </a:r>
        </a:p>
      </xdr:txBody>
    </xdr:sp>
    <xdr:clientData/>
  </xdr:twoCellAnchor>
  <xdr:twoCellAnchor>
    <xdr:from>
      <xdr:col>0</xdr:col>
      <xdr:colOff>104774</xdr:colOff>
      <xdr:row>3</xdr:row>
      <xdr:rowOff>152400</xdr:rowOff>
    </xdr:from>
    <xdr:to>
      <xdr:col>3</xdr:col>
      <xdr:colOff>152399</xdr:colOff>
      <xdr:row>35</xdr:row>
      <xdr:rowOff>149679</xdr:rowOff>
    </xdr:to>
    <xdr:sp macro="" textlink="">
      <xdr:nvSpPr>
        <xdr:cNvPr id="6" name="Rectangle 5">
          <a:extLst>
            <a:ext uri="{FF2B5EF4-FFF2-40B4-BE49-F238E27FC236}">
              <a16:creationId xmlns:a16="http://schemas.microsoft.com/office/drawing/2014/main" id="{CBB33000-E2CD-4093-96F9-18D74A1AB2AE}"/>
            </a:ext>
          </a:extLst>
        </xdr:cNvPr>
        <xdr:cNvSpPr/>
      </xdr:nvSpPr>
      <xdr:spPr>
        <a:xfrm>
          <a:off x="104774" y="723900"/>
          <a:ext cx="1884589" cy="609327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142875</xdr:colOff>
      <xdr:row>4</xdr:row>
      <xdr:rowOff>38100</xdr:rowOff>
    </xdr:from>
    <xdr:to>
      <xdr:col>3</xdr:col>
      <xdr:colOff>76200</xdr:colOff>
      <xdr:row>9</xdr:row>
      <xdr:rowOff>171450</xdr:rowOff>
    </xdr:to>
    <mc:AlternateContent xmlns:mc="http://schemas.openxmlformats.org/markup-compatibility/2006" xmlns:a14="http://schemas.microsoft.com/office/drawing/2010/main">
      <mc:Choice Requires="a14">
        <xdr:graphicFrame macro="">
          <xdr:nvGraphicFramePr>
            <xdr:cNvPr id="7" name="Ride Type 1">
              <a:extLst>
                <a:ext uri="{FF2B5EF4-FFF2-40B4-BE49-F238E27FC236}">
                  <a16:creationId xmlns:a16="http://schemas.microsoft.com/office/drawing/2014/main" id="{DD143194-4A19-445B-B921-67856D8D256B}"/>
                </a:ext>
              </a:extLst>
            </xdr:cNvPr>
            <xdr:cNvGraphicFramePr/>
          </xdr:nvGraphicFramePr>
          <xdr:xfrm>
            <a:off x="0" y="0"/>
            <a:ext cx="0" cy="0"/>
          </xdr:xfrm>
          <a:graphic>
            <a:graphicData uri="http://schemas.microsoft.com/office/drawing/2010/slicer">
              <sle:slicer xmlns:sle="http://schemas.microsoft.com/office/drawing/2010/slicer" name="Ride Type 1"/>
            </a:graphicData>
          </a:graphic>
        </xdr:graphicFrame>
      </mc:Choice>
      <mc:Fallback xmlns="">
        <xdr:sp macro="" textlink="">
          <xdr:nvSpPr>
            <xdr:cNvPr id="0" name=""/>
            <xdr:cNvSpPr>
              <a:spLocks noTextEdit="1"/>
            </xdr:cNvSpPr>
          </xdr:nvSpPr>
          <xdr:spPr>
            <a:xfrm>
              <a:off x="142875" y="800100"/>
              <a:ext cx="1770289"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126206</xdr:colOff>
      <xdr:row>10</xdr:row>
      <xdr:rowOff>133350</xdr:rowOff>
    </xdr:from>
    <xdr:to>
      <xdr:col>3</xdr:col>
      <xdr:colOff>76200</xdr:colOff>
      <xdr:row>18</xdr:row>
      <xdr:rowOff>152400</xdr:rowOff>
    </xdr:to>
    <mc:AlternateContent xmlns:mc="http://schemas.openxmlformats.org/markup-compatibility/2006" xmlns:a14="http://schemas.microsoft.com/office/drawing/2010/main">
      <mc:Choice Requires="a14">
        <xdr:graphicFrame macro="">
          <xdr:nvGraphicFramePr>
            <xdr:cNvPr id="8" name="Payment Method 1">
              <a:extLst>
                <a:ext uri="{FF2B5EF4-FFF2-40B4-BE49-F238E27FC236}">
                  <a16:creationId xmlns:a16="http://schemas.microsoft.com/office/drawing/2014/main" id="{38DE4F2A-E022-41E7-8D10-8D4BE7ABA126}"/>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26206" y="2038350"/>
              <a:ext cx="1786958"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224518</xdr:colOff>
      <xdr:row>3</xdr:row>
      <xdr:rowOff>161924</xdr:rowOff>
    </xdr:from>
    <xdr:to>
      <xdr:col>8</xdr:col>
      <xdr:colOff>517072</xdr:colOff>
      <xdr:row>8</xdr:row>
      <xdr:rowOff>38100</xdr:rowOff>
    </xdr:to>
    <xdr:grpSp>
      <xdr:nvGrpSpPr>
        <xdr:cNvPr id="30" name="Group 29">
          <a:extLst>
            <a:ext uri="{FF2B5EF4-FFF2-40B4-BE49-F238E27FC236}">
              <a16:creationId xmlns:a16="http://schemas.microsoft.com/office/drawing/2014/main" id="{E16C53C8-EB29-42EB-AEB2-C87A481F9F0C}"/>
            </a:ext>
          </a:extLst>
        </xdr:cNvPr>
        <xdr:cNvGrpSpPr/>
      </xdr:nvGrpSpPr>
      <xdr:grpSpPr>
        <a:xfrm>
          <a:off x="2061482" y="733424"/>
          <a:ext cx="3354161" cy="828676"/>
          <a:chOff x="2181225" y="761999"/>
          <a:chExt cx="2190750" cy="828676"/>
        </a:xfrm>
      </xdr:grpSpPr>
      <xdr:sp macro="" textlink="">
        <xdr:nvSpPr>
          <xdr:cNvPr id="9" name="Rectangle 8">
            <a:extLst>
              <a:ext uri="{FF2B5EF4-FFF2-40B4-BE49-F238E27FC236}">
                <a16:creationId xmlns:a16="http://schemas.microsoft.com/office/drawing/2014/main" id="{C0C4E020-F1AB-4BB0-90A9-5D9940BDCDBC}"/>
              </a:ext>
            </a:extLst>
          </xdr:cNvPr>
          <xdr:cNvSpPr/>
        </xdr:nvSpPr>
        <xdr:spPr>
          <a:xfrm>
            <a:off x="2181225" y="761999"/>
            <a:ext cx="2190750" cy="828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t>Total Ride</a:t>
            </a:r>
          </a:p>
        </xdr:txBody>
      </xdr:sp>
      <xdr:sp macro="" textlink="Pivot!$A$9">
        <xdr:nvSpPr>
          <xdr:cNvPr id="10" name="Rectangle 9">
            <a:extLst>
              <a:ext uri="{FF2B5EF4-FFF2-40B4-BE49-F238E27FC236}">
                <a16:creationId xmlns:a16="http://schemas.microsoft.com/office/drawing/2014/main" id="{A4421C48-0259-4CE4-93F8-4163ADDE41FD}"/>
              </a:ext>
            </a:extLst>
          </xdr:cNvPr>
          <xdr:cNvSpPr/>
        </xdr:nvSpPr>
        <xdr:spPr>
          <a:xfrm>
            <a:off x="2571751" y="1162050"/>
            <a:ext cx="1428750" cy="4095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15ED726-981D-42B8-BEBE-86EAAD41F7E5}" type="TxLink">
              <a:rPr lang="en-US" sz="3600" b="1" i="0" u="none" strike="noStrike">
                <a:solidFill>
                  <a:schemeClr val="bg1"/>
                </a:solidFill>
                <a:latin typeface="Calibri"/>
                <a:cs typeface="Calibri"/>
              </a:rPr>
              <a:pPr algn="ctr"/>
              <a:t>58</a:t>
            </a:fld>
            <a:endParaRPr lang="en-US" sz="3600" b="1">
              <a:solidFill>
                <a:schemeClr val="bg1"/>
              </a:solidFill>
            </a:endParaRPr>
          </a:p>
        </xdr:txBody>
      </xdr:sp>
    </xdr:grpSp>
    <xdr:clientData/>
  </xdr:twoCellAnchor>
  <xdr:twoCellAnchor>
    <xdr:from>
      <xdr:col>9</xdr:col>
      <xdr:colOff>13607</xdr:colOff>
      <xdr:row>3</xdr:row>
      <xdr:rowOff>175530</xdr:rowOff>
    </xdr:from>
    <xdr:to>
      <xdr:col>14</xdr:col>
      <xdr:colOff>391885</xdr:colOff>
      <xdr:row>8</xdr:row>
      <xdr:rowOff>54429</xdr:rowOff>
    </xdr:to>
    <xdr:grpSp>
      <xdr:nvGrpSpPr>
        <xdr:cNvPr id="17" name="Group 16">
          <a:extLst>
            <a:ext uri="{FF2B5EF4-FFF2-40B4-BE49-F238E27FC236}">
              <a16:creationId xmlns:a16="http://schemas.microsoft.com/office/drawing/2014/main" id="{B47F70D5-8312-4E3C-A030-ED8860965A7F}"/>
            </a:ext>
          </a:extLst>
        </xdr:cNvPr>
        <xdr:cNvGrpSpPr/>
      </xdr:nvGrpSpPr>
      <xdr:grpSpPr>
        <a:xfrm>
          <a:off x="5524500" y="747030"/>
          <a:ext cx="3439885" cy="831399"/>
          <a:chOff x="4629150" y="1619249"/>
          <a:chExt cx="2190750" cy="829359"/>
        </a:xfrm>
      </xdr:grpSpPr>
      <xdr:sp macro="" textlink="">
        <xdr:nvSpPr>
          <xdr:cNvPr id="15" name="Rectangle 14">
            <a:extLst>
              <a:ext uri="{FF2B5EF4-FFF2-40B4-BE49-F238E27FC236}">
                <a16:creationId xmlns:a16="http://schemas.microsoft.com/office/drawing/2014/main" id="{6A253FB3-E3EC-4160-A154-B34383D7BD71}"/>
              </a:ext>
            </a:extLst>
          </xdr:cNvPr>
          <xdr:cNvSpPr/>
        </xdr:nvSpPr>
        <xdr:spPr>
          <a:xfrm>
            <a:off x="4629150" y="1619249"/>
            <a:ext cx="2190750" cy="828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t>Total Cost</a:t>
            </a:r>
          </a:p>
        </xdr:txBody>
      </xdr:sp>
      <xdr:sp macro="" textlink="Pivot!$C$9">
        <xdr:nvSpPr>
          <xdr:cNvPr id="16" name="Rectangle 15">
            <a:extLst>
              <a:ext uri="{FF2B5EF4-FFF2-40B4-BE49-F238E27FC236}">
                <a16:creationId xmlns:a16="http://schemas.microsoft.com/office/drawing/2014/main" id="{E3BCF9A7-530E-4578-A899-F62E53E00592}"/>
              </a:ext>
            </a:extLst>
          </xdr:cNvPr>
          <xdr:cNvSpPr/>
        </xdr:nvSpPr>
        <xdr:spPr>
          <a:xfrm>
            <a:off x="5107977" y="2058082"/>
            <a:ext cx="1247775" cy="3905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B2C6DC3-6D57-447A-8B45-E2F5BE4E993E}" type="TxLink">
              <a:rPr lang="en-US" sz="3600" b="1" i="0" u="none" strike="noStrike">
                <a:solidFill>
                  <a:schemeClr val="bg1"/>
                </a:solidFill>
                <a:latin typeface="Calibri"/>
                <a:cs typeface="Calibri"/>
              </a:rPr>
              <a:pPr algn="ctr"/>
              <a:t>591.6</a:t>
            </a:fld>
            <a:endParaRPr lang="en-US" sz="3600" b="1">
              <a:solidFill>
                <a:schemeClr val="bg1"/>
              </a:solidFill>
            </a:endParaRPr>
          </a:p>
        </xdr:txBody>
      </xdr:sp>
    </xdr:grpSp>
    <xdr:clientData/>
  </xdr:twoCellAnchor>
  <xdr:twoCellAnchor>
    <xdr:from>
      <xdr:col>14</xdr:col>
      <xdr:colOff>449036</xdr:colOff>
      <xdr:row>3</xdr:row>
      <xdr:rowOff>175531</xdr:rowOff>
    </xdr:from>
    <xdr:to>
      <xdr:col>20</xdr:col>
      <xdr:colOff>386442</xdr:colOff>
      <xdr:row>8</xdr:row>
      <xdr:rowOff>68036</xdr:rowOff>
    </xdr:to>
    <xdr:grpSp>
      <xdr:nvGrpSpPr>
        <xdr:cNvPr id="23" name="Group 22">
          <a:extLst>
            <a:ext uri="{FF2B5EF4-FFF2-40B4-BE49-F238E27FC236}">
              <a16:creationId xmlns:a16="http://schemas.microsoft.com/office/drawing/2014/main" id="{BCA798D7-8075-4C9B-BC48-A633B2EF3AC0}"/>
            </a:ext>
          </a:extLst>
        </xdr:cNvPr>
        <xdr:cNvGrpSpPr/>
      </xdr:nvGrpSpPr>
      <xdr:grpSpPr>
        <a:xfrm>
          <a:off x="9021536" y="747031"/>
          <a:ext cx="3611335" cy="845005"/>
          <a:chOff x="6734175" y="752474"/>
          <a:chExt cx="2552700" cy="858612"/>
        </a:xfrm>
      </xdr:grpSpPr>
      <xdr:sp macro="" textlink="">
        <xdr:nvSpPr>
          <xdr:cNvPr id="19" name="Rectangle 18">
            <a:extLst>
              <a:ext uri="{FF2B5EF4-FFF2-40B4-BE49-F238E27FC236}">
                <a16:creationId xmlns:a16="http://schemas.microsoft.com/office/drawing/2014/main" id="{80644469-A1A9-4D34-BAD0-D61D593239A1}"/>
              </a:ext>
            </a:extLst>
          </xdr:cNvPr>
          <xdr:cNvSpPr/>
        </xdr:nvSpPr>
        <xdr:spPr>
          <a:xfrm>
            <a:off x="6734175" y="752474"/>
            <a:ext cx="2552700" cy="85861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t>Avg.Ride Duration</a:t>
            </a:r>
          </a:p>
        </xdr:txBody>
      </xdr:sp>
      <xdr:sp macro="" textlink="Pivot!$E$9">
        <xdr:nvSpPr>
          <xdr:cNvPr id="21" name="Rectangle 20">
            <a:extLst>
              <a:ext uri="{FF2B5EF4-FFF2-40B4-BE49-F238E27FC236}">
                <a16:creationId xmlns:a16="http://schemas.microsoft.com/office/drawing/2014/main" id="{F6AE0248-A6AE-42CE-B1EE-58569987310F}"/>
              </a:ext>
            </a:extLst>
          </xdr:cNvPr>
          <xdr:cNvSpPr/>
        </xdr:nvSpPr>
        <xdr:spPr>
          <a:xfrm>
            <a:off x="7258050" y="1168853"/>
            <a:ext cx="1476375" cy="4286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945BC58-7889-4489-8489-D9897084AD21}" type="TxLink">
              <a:rPr lang="en-US" sz="3600" b="1" i="0" u="none" strike="noStrike">
                <a:solidFill>
                  <a:schemeClr val="bg1"/>
                </a:solidFill>
                <a:latin typeface="Calibri"/>
                <a:cs typeface="Calibri"/>
              </a:rPr>
              <a:pPr algn="ctr"/>
              <a:t>36.00</a:t>
            </a:fld>
            <a:endParaRPr lang="en-US" sz="3600" b="1">
              <a:solidFill>
                <a:schemeClr val="bg1"/>
              </a:solidFill>
            </a:endParaRPr>
          </a:p>
        </xdr:txBody>
      </xdr:sp>
    </xdr:grpSp>
    <xdr:clientData/>
  </xdr:twoCellAnchor>
  <xdr:twoCellAnchor>
    <xdr:from>
      <xdr:col>20</xdr:col>
      <xdr:colOff>449036</xdr:colOff>
      <xdr:row>3</xdr:row>
      <xdr:rowOff>179614</xdr:rowOff>
    </xdr:from>
    <xdr:to>
      <xdr:col>27</xdr:col>
      <xdr:colOff>564696</xdr:colOff>
      <xdr:row>8</xdr:row>
      <xdr:rowOff>81643</xdr:rowOff>
    </xdr:to>
    <xdr:grpSp>
      <xdr:nvGrpSpPr>
        <xdr:cNvPr id="25" name="Group 24">
          <a:extLst>
            <a:ext uri="{FF2B5EF4-FFF2-40B4-BE49-F238E27FC236}">
              <a16:creationId xmlns:a16="http://schemas.microsoft.com/office/drawing/2014/main" id="{D8A3AAF4-2F88-45F0-B05D-124A06CA3B11}"/>
            </a:ext>
          </a:extLst>
        </xdr:cNvPr>
        <xdr:cNvGrpSpPr/>
      </xdr:nvGrpSpPr>
      <xdr:grpSpPr>
        <a:xfrm>
          <a:off x="12695465" y="751114"/>
          <a:ext cx="4401910" cy="854529"/>
          <a:chOff x="9620249" y="733424"/>
          <a:chExt cx="3248025" cy="854529"/>
        </a:xfrm>
      </xdr:grpSpPr>
      <xdr:sp macro="" textlink="">
        <xdr:nvSpPr>
          <xdr:cNvPr id="22" name="Rectangle 21">
            <a:extLst>
              <a:ext uri="{FF2B5EF4-FFF2-40B4-BE49-F238E27FC236}">
                <a16:creationId xmlns:a16="http://schemas.microsoft.com/office/drawing/2014/main" id="{68D42F5C-19B2-405F-A0D2-9726D9DE91F8}"/>
              </a:ext>
            </a:extLst>
          </xdr:cNvPr>
          <xdr:cNvSpPr/>
        </xdr:nvSpPr>
        <xdr:spPr>
          <a:xfrm>
            <a:off x="9620249" y="733424"/>
            <a:ext cx="3248025" cy="828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t>Avg.Ride Distance (KM)</a:t>
            </a:r>
          </a:p>
        </xdr:txBody>
      </xdr:sp>
      <xdr:sp macro="" textlink="Pivot!$G$9">
        <xdr:nvSpPr>
          <xdr:cNvPr id="24" name="Rectangle 23">
            <a:extLst>
              <a:ext uri="{FF2B5EF4-FFF2-40B4-BE49-F238E27FC236}">
                <a16:creationId xmlns:a16="http://schemas.microsoft.com/office/drawing/2014/main" id="{389D2485-000A-4E43-BD7C-A5B61B741DA3}"/>
              </a:ext>
            </a:extLst>
          </xdr:cNvPr>
          <xdr:cNvSpPr/>
        </xdr:nvSpPr>
        <xdr:spPr>
          <a:xfrm>
            <a:off x="10810874" y="1149802"/>
            <a:ext cx="1028701" cy="4381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0724087-FBC6-4866-BCC6-5CB2E19DC0B0}" type="TxLink">
              <a:rPr lang="en-US" sz="3600" b="1" i="0" u="none" strike="noStrike">
                <a:solidFill>
                  <a:schemeClr val="bg1"/>
                </a:solidFill>
                <a:latin typeface="Calibri"/>
                <a:cs typeface="Calibri"/>
              </a:rPr>
              <a:pPr algn="ctr"/>
              <a:t>7.44</a:t>
            </a:fld>
            <a:endParaRPr lang="en-US" sz="3600" b="1">
              <a:solidFill>
                <a:schemeClr val="bg1"/>
              </a:solidFill>
            </a:endParaRPr>
          </a:p>
        </xdr:txBody>
      </xdr:sp>
    </xdr:grpSp>
    <xdr:clientData/>
  </xdr:twoCellAnchor>
  <xdr:twoCellAnchor editAs="oneCell">
    <xdr:from>
      <xdr:col>0</xdr:col>
      <xdr:colOff>504825</xdr:colOff>
      <xdr:row>21</xdr:row>
      <xdr:rowOff>28575</xdr:rowOff>
    </xdr:from>
    <xdr:to>
      <xdr:col>2</xdr:col>
      <xdr:colOff>200025</xdr:colOff>
      <xdr:row>25</xdr:row>
      <xdr:rowOff>180975</xdr:rowOff>
    </xdr:to>
    <xdr:pic>
      <xdr:nvPicPr>
        <xdr:cNvPr id="27" name="Graphic 26" descr="Database with solid fill">
          <a:hlinkClick xmlns:r="http://schemas.openxmlformats.org/officeDocument/2006/relationships" r:id="rId1"/>
          <a:extLst>
            <a:ext uri="{FF2B5EF4-FFF2-40B4-BE49-F238E27FC236}">
              <a16:creationId xmlns:a16="http://schemas.microsoft.com/office/drawing/2014/main" id="{DCF494C0-DEA5-40B6-8B2A-3AAC05ECCF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504825" y="4029075"/>
          <a:ext cx="914400" cy="914400"/>
        </a:xfrm>
        <a:prstGeom prst="rect">
          <a:avLst/>
        </a:prstGeom>
      </xdr:spPr>
    </xdr:pic>
    <xdr:clientData/>
  </xdr:twoCellAnchor>
  <xdr:twoCellAnchor editAs="oneCell">
    <xdr:from>
      <xdr:col>0</xdr:col>
      <xdr:colOff>559575</xdr:colOff>
      <xdr:row>28</xdr:row>
      <xdr:rowOff>54750</xdr:rowOff>
    </xdr:from>
    <xdr:to>
      <xdr:col>2</xdr:col>
      <xdr:colOff>254775</xdr:colOff>
      <xdr:row>33</xdr:row>
      <xdr:rowOff>16650</xdr:rowOff>
    </xdr:to>
    <xdr:pic>
      <xdr:nvPicPr>
        <xdr:cNvPr id="29" name="Graphic 28" descr="Document with solid fill">
          <a:hlinkClick xmlns:r="http://schemas.openxmlformats.org/officeDocument/2006/relationships" r:id="rId4"/>
          <a:extLst>
            <a:ext uri="{FF2B5EF4-FFF2-40B4-BE49-F238E27FC236}">
              <a16:creationId xmlns:a16="http://schemas.microsoft.com/office/drawing/2014/main" id="{BACA1782-A1B4-4D31-ACEA-9024658767C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59575" y="5388750"/>
          <a:ext cx="914400" cy="914400"/>
        </a:xfrm>
        <a:prstGeom prst="rect">
          <a:avLst/>
        </a:prstGeom>
      </xdr:spPr>
    </xdr:pic>
    <xdr:clientData/>
  </xdr:twoCellAnchor>
  <xdr:twoCellAnchor>
    <xdr:from>
      <xdr:col>3</xdr:col>
      <xdr:colOff>214947</xdr:colOff>
      <xdr:row>8</xdr:row>
      <xdr:rowOff>118082</xdr:rowOff>
    </xdr:from>
    <xdr:to>
      <xdr:col>27</xdr:col>
      <xdr:colOff>571316</xdr:colOff>
      <xdr:row>22</xdr:row>
      <xdr:rowOff>27215</xdr:rowOff>
    </xdr:to>
    <xdr:sp macro="" textlink="">
      <xdr:nvSpPr>
        <xdr:cNvPr id="31" name="Rectangle 30">
          <a:extLst>
            <a:ext uri="{FF2B5EF4-FFF2-40B4-BE49-F238E27FC236}">
              <a16:creationId xmlns:a16="http://schemas.microsoft.com/office/drawing/2014/main" id="{619D15E0-71F6-4E96-A3B7-90BC3AFB919F}"/>
            </a:ext>
          </a:extLst>
        </xdr:cNvPr>
        <xdr:cNvSpPr/>
      </xdr:nvSpPr>
      <xdr:spPr>
        <a:xfrm>
          <a:off x="2051911" y="1642082"/>
          <a:ext cx="15052084" cy="257613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314810</xdr:colOff>
      <xdr:row>9</xdr:row>
      <xdr:rowOff>8072</xdr:rowOff>
    </xdr:from>
    <xdr:to>
      <xdr:col>11</xdr:col>
      <xdr:colOff>408214</xdr:colOff>
      <xdr:row>21</xdr:row>
      <xdr:rowOff>149679</xdr:rowOff>
    </xdr:to>
    <xdr:graphicFrame macro="">
      <xdr:nvGraphicFramePr>
        <xdr:cNvPr id="32" name="Chart 31">
          <a:extLst>
            <a:ext uri="{FF2B5EF4-FFF2-40B4-BE49-F238E27FC236}">
              <a16:creationId xmlns:a16="http://schemas.microsoft.com/office/drawing/2014/main" id="{CAF578E2-030C-430E-A846-D307C3C5D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508908</xdr:colOff>
      <xdr:row>9</xdr:row>
      <xdr:rowOff>4082</xdr:rowOff>
    </xdr:from>
    <xdr:to>
      <xdr:col>19</xdr:col>
      <xdr:colOff>585108</xdr:colOff>
      <xdr:row>21</xdr:row>
      <xdr:rowOff>176893</xdr:rowOff>
    </xdr:to>
    <xdr:graphicFrame macro="">
      <xdr:nvGraphicFramePr>
        <xdr:cNvPr id="33" name="Chart 32">
          <a:extLst>
            <a:ext uri="{FF2B5EF4-FFF2-40B4-BE49-F238E27FC236}">
              <a16:creationId xmlns:a16="http://schemas.microsoft.com/office/drawing/2014/main" id="{19FB5D9F-C436-49C2-820C-EB82A5F38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221665</xdr:colOff>
      <xdr:row>22</xdr:row>
      <xdr:rowOff>90889</xdr:rowOff>
    </xdr:from>
    <xdr:to>
      <xdr:col>27</xdr:col>
      <xdr:colOff>585107</xdr:colOff>
      <xdr:row>35</xdr:row>
      <xdr:rowOff>148244</xdr:rowOff>
    </xdr:to>
    <xdr:sp macro="" textlink="">
      <xdr:nvSpPr>
        <xdr:cNvPr id="3" name="Rectangle 2">
          <a:extLst>
            <a:ext uri="{FF2B5EF4-FFF2-40B4-BE49-F238E27FC236}">
              <a16:creationId xmlns:a16="http://schemas.microsoft.com/office/drawing/2014/main" id="{7CF3AB4B-27B4-47D4-94EA-1513E21496D4}"/>
            </a:ext>
          </a:extLst>
        </xdr:cNvPr>
        <xdr:cNvSpPr/>
      </xdr:nvSpPr>
      <xdr:spPr>
        <a:xfrm>
          <a:off x="2058629" y="4281889"/>
          <a:ext cx="15059157" cy="25338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304801</xdr:colOff>
      <xdr:row>23</xdr:row>
      <xdr:rowOff>59870</xdr:rowOff>
    </xdr:from>
    <xdr:to>
      <xdr:col>11</xdr:col>
      <xdr:colOff>353785</xdr:colOff>
      <xdr:row>35</xdr:row>
      <xdr:rowOff>87085</xdr:rowOff>
    </xdr:to>
    <xdr:graphicFrame macro="">
      <xdr:nvGraphicFramePr>
        <xdr:cNvPr id="34" name="Chart 33">
          <a:extLst>
            <a:ext uri="{FF2B5EF4-FFF2-40B4-BE49-F238E27FC236}">
              <a16:creationId xmlns:a16="http://schemas.microsoft.com/office/drawing/2014/main" id="{1569566F-7744-463A-88DC-5CC556605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542925</xdr:colOff>
      <xdr:row>23</xdr:row>
      <xdr:rowOff>28575</xdr:rowOff>
    </xdr:from>
    <xdr:to>
      <xdr:col>20</xdr:col>
      <xdr:colOff>66675</xdr:colOff>
      <xdr:row>35</xdr:row>
      <xdr:rowOff>100693</xdr:rowOff>
    </xdr:to>
    <xdr:graphicFrame macro="">
      <xdr:nvGraphicFramePr>
        <xdr:cNvPr id="28" name="Chart 27">
          <a:extLst>
            <a:ext uri="{FF2B5EF4-FFF2-40B4-BE49-F238E27FC236}">
              <a16:creationId xmlns:a16="http://schemas.microsoft.com/office/drawing/2014/main" id="{EBC454C3-AE85-4F7B-A08F-01211FAF2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81644</xdr:colOff>
      <xdr:row>9</xdr:row>
      <xdr:rowOff>13607</xdr:rowOff>
    </xdr:from>
    <xdr:to>
      <xdr:col>27</xdr:col>
      <xdr:colOff>386444</xdr:colOff>
      <xdr:row>21</xdr:row>
      <xdr:rowOff>168388</xdr:rowOff>
    </xdr:to>
    <xdr:graphicFrame macro="">
      <xdr:nvGraphicFramePr>
        <xdr:cNvPr id="35" name="Chart 34">
          <a:extLst>
            <a:ext uri="{FF2B5EF4-FFF2-40B4-BE49-F238E27FC236}">
              <a16:creationId xmlns:a16="http://schemas.microsoft.com/office/drawing/2014/main" id="{213C8ABA-85B3-4C33-9C00-E5755B1FA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214312</xdr:colOff>
      <xdr:row>23</xdr:row>
      <xdr:rowOff>47626</xdr:rowOff>
    </xdr:from>
    <xdr:to>
      <xdr:col>27</xdr:col>
      <xdr:colOff>476250</xdr:colOff>
      <xdr:row>35</xdr:row>
      <xdr:rowOff>107156</xdr:rowOff>
    </xdr:to>
    <xdr:graphicFrame macro="">
      <xdr:nvGraphicFramePr>
        <xdr:cNvPr id="36" name="Chart 35">
          <a:extLst>
            <a:ext uri="{FF2B5EF4-FFF2-40B4-BE49-F238E27FC236}">
              <a16:creationId xmlns:a16="http://schemas.microsoft.com/office/drawing/2014/main" id="{9319435F-B860-464F-AA64-C955701AE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26</xdr:col>
      <xdr:colOff>340177</xdr:colOff>
      <xdr:row>0</xdr:row>
      <xdr:rowOff>0</xdr:rowOff>
    </xdr:from>
    <xdr:to>
      <xdr:col>28</xdr:col>
      <xdr:colOff>163285</xdr:colOff>
      <xdr:row>3</xdr:row>
      <xdr:rowOff>136071</xdr:rowOff>
    </xdr:to>
    <xdr:sp macro="" textlink="">
      <xdr:nvSpPr>
        <xdr:cNvPr id="2049" name="Text Box 1">
          <a:extLst>
            <a:ext uri="{FF2B5EF4-FFF2-40B4-BE49-F238E27FC236}">
              <a16:creationId xmlns:a16="http://schemas.microsoft.com/office/drawing/2014/main" id="{B5E6B08A-0368-45B7-B0DC-8B8D7EC60E50}"/>
            </a:ext>
          </a:extLst>
        </xdr:cNvPr>
        <xdr:cNvSpPr txBox="1">
          <a:spLocks noChangeArrowheads="1"/>
        </xdr:cNvSpPr>
      </xdr:nvSpPr>
      <xdr:spPr bwMode="auto">
        <a:xfrm>
          <a:off x="16260534" y="0"/>
          <a:ext cx="1047751" cy="707571"/>
        </a:xfrm>
        <a:prstGeom prst="rect">
          <a:avLst/>
        </a:prstGeom>
        <a:noFill/>
        <a:ln w="9525">
          <a:noFill/>
          <a:miter lim="800000"/>
          <a:headEnd/>
          <a:tailEnd/>
        </a:ln>
      </xdr:spPr>
      <xdr:txBody>
        <a:bodyPr vertOverflow="clip" wrap="square" lIns="27432" tIns="18288" rIns="0" bIns="0" anchor="t" upright="1"/>
        <a:lstStyle/>
        <a:p>
          <a:pPr algn="l" rtl="0">
            <a:defRPr sz="1000"/>
          </a:pPr>
          <a:r>
            <a:rPr lang="en-US" sz="3600" b="0" i="0" u="none" strike="noStrike" baseline="0">
              <a:solidFill>
                <a:srgbClr val="000000"/>
              </a:solidFill>
              <a:latin typeface="Calibri"/>
              <a:cs typeface="Calibri"/>
            </a:rPr>
            <a:t>🛣️</a:t>
          </a:r>
        </a:p>
      </xdr:txBody>
    </xdr:sp>
    <xdr:clientData/>
  </xdr:twoCellAnchor>
  <xdr:twoCellAnchor>
    <xdr:from>
      <xdr:col>8</xdr:col>
      <xdr:colOff>272903</xdr:colOff>
      <xdr:row>0</xdr:row>
      <xdr:rowOff>54429</xdr:rowOff>
    </xdr:from>
    <xdr:to>
      <xdr:col>10</xdr:col>
      <xdr:colOff>96011</xdr:colOff>
      <xdr:row>4</xdr:row>
      <xdr:rowOff>0</xdr:rowOff>
    </xdr:to>
    <xdr:sp macro="" textlink="">
      <xdr:nvSpPr>
        <xdr:cNvPr id="37" name="Text Box 1">
          <a:extLst>
            <a:ext uri="{FF2B5EF4-FFF2-40B4-BE49-F238E27FC236}">
              <a16:creationId xmlns:a16="http://schemas.microsoft.com/office/drawing/2014/main" id="{2D9F5809-068B-4079-B906-68D8398DF8B9}"/>
            </a:ext>
          </a:extLst>
        </xdr:cNvPr>
        <xdr:cNvSpPr txBox="1">
          <a:spLocks noChangeArrowheads="1"/>
        </xdr:cNvSpPr>
      </xdr:nvSpPr>
      <xdr:spPr bwMode="auto">
        <a:xfrm>
          <a:off x="5171474" y="54429"/>
          <a:ext cx="1047751" cy="707571"/>
        </a:xfrm>
        <a:prstGeom prst="rect">
          <a:avLst/>
        </a:prstGeom>
        <a:noFill/>
        <a:ln w="9525">
          <a:noFill/>
          <a:miter lim="800000"/>
          <a:headEnd/>
          <a:tailEnd/>
        </a:ln>
      </xdr:spPr>
      <xdr:txBody>
        <a:bodyPr vertOverflow="clip" wrap="square" lIns="27432" tIns="18288" rIns="0" bIns="0" anchor="t" upright="1"/>
        <a:lstStyle/>
        <a:p>
          <a:pPr algn="l" rtl="0">
            <a:defRPr sz="1000"/>
          </a:pPr>
          <a:r>
            <a:rPr lang="en-US" sz="3600" b="0" i="0" u="none" strike="noStrike" baseline="0">
              <a:solidFill>
                <a:srgbClr val="000000"/>
              </a:solidFill>
              <a:latin typeface="Calibri"/>
              <a:cs typeface="Calibri"/>
            </a:rPr>
            <a:t>🛣️</a:t>
          </a:r>
        </a:p>
      </xdr:txBody>
    </xdr:sp>
    <xdr:clientData/>
  </xdr:twoCellAnchor>
  <xdr:twoCellAnchor editAs="oneCell">
    <xdr:from>
      <xdr:col>6</xdr:col>
      <xdr:colOff>13606</xdr:colOff>
      <xdr:row>0</xdr:row>
      <xdr:rowOff>85648</xdr:rowOff>
    </xdr:from>
    <xdr:to>
      <xdr:col>8</xdr:col>
      <xdr:colOff>97971</xdr:colOff>
      <xdr:row>3</xdr:row>
      <xdr:rowOff>136071</xdr:rowOff>
    </xdr:to>
    <xdr:pic>
      <xdr:nvPicPr>
        <xdr:cNvPr id="39" name="Picture 38">
          <a:extLst>
            <a:ext uri="{FF2B5EF4-FFF2-40B4-BE49-F238E27FC236}">
              <a16:creationId xmlns:a16="http://schemas.microsoft.com/office/drawing/2014/main" id="{76A184DB-19EC-4AFC-BB70-175D2A8170B8}"/>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687535" y="85648"/>
          <a:ext cx="1309007" cy="62192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yam panchal" refreshedDate="46066.71115949074" createdVersion="7" refreshedVersion="7" minRefreshableVersion="3" recordCount="345" xr:uid="{3F7404DF-D16E-437B-B57D-2DBEBD84FB4A}">
  <cacheSource type="worksheet">
    <worksheetSource name="Careem_Bike_Data"/>
  </cacheSource>
  <cacheFields count="23">
    <cacheField name="Ride ID" numFmtId="0">
      <sharedItems containsSemiMixedTypes="0" containsString="0" containsNumber="1" containsInteger="1" minValue="2001" maxValue="2617" count="345">
        <n v="2001"/>
        <n v="2002"/>
        <n v="2003"/>
        <n v="2004"/>
        <n v="2005"/>
        <n v="2006"/>
        <n v="2007"/>
        <n v="2008"/>
        <n v="2009"/>
        <n v="2010"/>
        <n v="2011"/>
        <n v="2012"/>
        <n v="2013"/>
        <n v="2014"/>
        <n v="2015"/>
        <n v="2016"/>
        <n v="2017"/>
        <n v="2018"/>
        <n v="2019"/>
        <n v="2020"/>
        <n v="2021"/>
        <n v="2022"/>
        <n v="2023"/>
        <n v="2024"/>
        <n v="2025"/>
        <n v="2026"/>
        <n v="2027"/>
        <n v="2028"/>
        <n v="2029"/>
        <n v="2030"/>
        <n v="2031"/>
        <n v="2033"/>
        <n v="2034"/>
        <n v="2035"/>
        <n v="2036"/>
        <n v="2037"/>
        <n v="2038"/>
        <n v="2039"/>
        <n v="2040"/>
        <n v="2041"/>
        <n v="2042"/>
        <n v="2043"/>
        <n v="2045"/>
        <n v="2046"/>
        <n v="2047"/>
        <n v="2048"/>
        <n v="2049"/>
        <n v="2050"/>
        <n v="2051"/>
        <n v="2052"/>
        <n v="2053"/>
        <n v="2054"/>
        <n v="2055"/>
        <n v="2056"/>
        <n v="2057"/>
        <n v="2058"/>
        <n v="2059"/>
        <n v="2060"/>
        <n v="2061"/>
        <n v="2064"/>
        <n v="2066"/>
        <n v="2067"/>
        <n v="2068"/>
        <n v="2069"/>
        <n v="2070"/>
        <n v="2071"/>
        <n v="2073"/>
        <n v="2074"/>
        <n v="2075"/>
        <n v="2076"/>
        <n v="2077"/>
        <n v="2078"/>
        <n v="2079"/>
        <n v="2080"/>
        <n v="2081"/>
        <n v="2082"/>
        <n v="2083"/>
        <n v="2084"/>
        <n v="2085"/>
        <n v="2086"/>
        <n v="2087"/>
        <n v="2088"/>
        <n v="2091"/>
        <n v="2092"/>
        <n v="2093"/>
        <n v="2095"/>
        <n v="2097"/>
        <n v="2099"/>
        <n v="2100"/>
        <n v="2101"/>
        <n v="2102"/>
        <n v="2103"/>
        <n v="2104"/>
        <n v="2105"/>
        <n v="2106"/>
        <n v="2107"/>
        <n v="2108"/>
        <n v="2110"/>
        <n v="2111"/>
        <n v="2112"/>
        <n v="2113"/>
        <n v="2114"/>
        <n v="2116"/>
        <n v="2118"/>
        <n v="2119"/>
        <n v="2120"/>
        <n v="2121"/>
        <n v="2122"/>
        <n v="2123"/>
        <n v="2124"/>
        <n v="2125"/>
        <n v="2127"/>
        <n v="2130"/>
        <n v="2131"/>
        <n v="2132"/>
        <n v="2134"/>
        <n v="2135"/>
        <n v="2137"/>
        <n v="2139"/>
        <n v="2140"/>
        <n v="2141"/>
        <n v="2142"/>
        <n v="2145"/>
        <n v="2146"/>
        <n v="2149"/>
        <n v="2150"/>
        <n v="2151"/>
        <n v="2155"/>
        <n v="2156"/>
        <n v="2157"/>
        <n v="2158"/>
        <n v="2159"/>
        <n v="2162"/>
        <n v="2163"/>
        <n v="2164"/>
        <n v="2165"/>
        <n v="2166"/>
        <n v="2167"/>
        <n v="2171"/>
        <n v="2173"/>
        <n v="2174"/>
        <n v="2175"/>
        <n v="2176"/>
        <n v="2178"/>
        <n v="2179"/>
        <n v="2180"/>
        <n v="2181"/>
        <n v="2183"/>
        <n v="2184"/>
        <n v="2185"/>
        <n v="2186"/>
        <n v="2187"/>
        <n v="2188"/>
        <n v="2189"/>
        <n v="2192"/>
        <n v="2193"/>
        <n v="2194"/>
        <n v="2196"/>
        <n v="2197"/>
        <n v="2198"/>
        <n v="2199"/>
        <n v="2200"/>
        <n v="2201"/>
        <n v="2203"/>
        <n v="2204"/>
        <n v="2205"/>
        <n v="2206"/>
        <n v="2207"/>
        <n v="2209"/>
        <n v="2210"/>
        <n v="2213"/>
        <n v="2214"/>
        <n v="2215"/>
        <n v="2216"/>
        <n v="2217"/>
        <n v="2218"/>
        <n v="2220"/>
        <n v="2222"/>
        <n v="2224"/>
        <n v="2225"/>
        <n v="2231"/>
        <n v="2232"/>
        <n v="2233"/>
        <n v="2234"/>
        <n v="2236"/>
        <n v="2237"/>
        <n v="2238"/>
        <n v="2240"/>
        <n v="2241"/>
        <n v="2242"/>
        <n v="2244"/>
        <n v="2245"/>
        <n v="2246"/>
        <n v="2247"/>
        <n v="2248"/>
        <n v="2249"/>
        <n v="2250"/>
        <n v="2253"/>
        <n v="2255"/>
        <n v="2256"/>
        <n v="2260"/>
        <n v="2263"/>
        <n v="2264"/>
        <n v="2266"/>
        <n v="2275"/>
        <n v="2276"/>
        <n v="2280"/>
        <n v="2281"/>
        <n v="2283"/>
        <n v="2287"/>
        <n v="2288"/>
        <n v="2290"/>
        <n v="2291"/>
        <n v="2292"/>
        <n v="2294"/>
        <n v="2295"/>
        <n v="2296"/>
        <n v="2297"/>
        <n v="2298"/>
        <n v="2301"/>
        <n v="2302"/>
        <n v="2303"/>
        <n v="2304"/>
        <n v="2305"/>
        <n v="2307"/>
        <n v="2308"/>
        <n v="2309"/>
        <n v="2311"/>
        <n v="2313"/>
        <n v="2314"/>
        <n v="2315"/>
        <n v="2320"/>
        <n v="2323"/>
        <n v="2325"/>
        <n v="2334"/>
        <n v="2335"/>
        <n v="2337"/>
        <n v="2338"/>
        <n v="2339"/>
        <n v="2344"/>
        <n v="2347"/>
        <n v="2348"/>
        <n v="2349"/>
        <n v="2350"/>
        <n v="2354"/>
        <n v="2356"/>
        <n v="2357"/>
        <n v="2359"/>
        <n v="2360"/>
        <n v="2361"/>
        <n v="2362"/>
        <n v="2365"/>
        <n v="2367"/>
        <n v="2368"/>
        <n v="2372"/>
        <n v="2376"/>
        <n v="2378"/>
        <n v="2379"/>
        <n v="2380"/>
        <n v="2381"/>
        <n v="2392"/>
        <n v="2393"/>
        <n v="2394"/>
        <n v="2397"/>
        <n v="2399"/>
        <n v="2402"/>
        <n v="2403"/>
        <n v="2404"/>
        <n v="2407"/>
        <n v="2408"/>
        <n v="2409"/>
        <n v="2413"/>
        <n v="2414"/>
        <n v="2415"/>
        <n v="2419"/>
        <n v="2423"/>
        <n v="2427"/>
        <n v="2428"/>
        <n v="2429"/>
        <n v="2430"/>
        <n v="2434"/>
        <n v="2435"/>
        <n v="2438"/>
        <n v="2439"/>
        <n v="2441"/>
        <n v="2442"/>
        <n v="2443"/>
        <n v="2444"/>
        <n v="2447"/>
        <n v="2449"/>
        <n v="2454"/>
        <n v="2455"/>
        <n v="2457"/>
        <n v="2460"/>
        <n v="2462"/>
        <n v="2465"/>
        <n v="2466"/>
        <n v="2467"/>
        <n v="2468"/>
        <n v="2473"/>
        <n v="2476"/>
        <n v="2477"/>
        <n v="2484"/>
        <n v="2489"/>
        <n v="2491"/>
        <n v="2492"/>
        <n v="2493"/>
        <n v="2497"/>
        <n v="2502"/>
        <n v="2504"/>
        <n v="2505"/>
        <n v="2510"/>
        <n v="2516"/>
        <n v="2520"/>
        <n v="2521"/>
        <n v="2524"/>
        <n v="2530"/>
        <n v="2537"/>
        <n v="2539"/>
        <n v="2543"/>
        <n v="2549"/>
        <n v="2550"/>
        <n v="2551"/>
        <n v="2552"/>
        <n v="2553"/>
        <n v="2563"/>
        <n v="2566"/>
        <n v="2572"/>
        <n v="2576"/>
        <n v="2580"/>
        <n v="2584"/>
        <n v="2585"/>
        <n v="2587"/>
        <n v="2593"/>
        <n v="2594"/>
        <n v="2603"/>
        <n v="2604"/>
        <n v="2605"/>
        <n v="2606"/>
        <n v="2608"/>
        <n v="2609"/>
        <n v="2611"/>
        <n v="2613"/>
        <n v="2615"/>
        <n v="2617"/>
      </sharedItems>
    </cacheField>
    <cacheField name="Month Name" numFmtId="0">
      <sharedItems count="12">
        <s v="April"/>
        <s v="August"/>
        <s v="May"/>
        <s v="February"/>
        <s v="November"/>
        <s v="December"/>
        <s v="September"/>
        <s v="October"/>
        <s v="June"/>
        <s v="March"/>
        <s v="July"/>
        <s v="January"/>
      </sharedItems>
    </cacheField>
    <cacheField name="Ride Date" numFmtId="14">
      <sharedItems containsSemiMixedTypes="0" containsNonDate="0" containsDate="1" containsString="0" minDate="2024-01-01T00:00:00" maxDate="2025-01-01T00:00:00" count="219">
        <d v="2024-04-07T00:00:00"/>
        <d v="2024-08-29T00:00:00"/>
        <d v="2024-05-01T00:00:00"/>
        <d v="2024-02-27T00:00:00"/>
        <d v="2024-11-14T00:00:00"/>
        <d v="2024-04-06T00:00:00"/>
        <d v="2024-12-03T00:00:00"/>
        <d v="2024-09-25T00:00:00"/>
        <d v="2024-09-01T00:00:00"/>
        <d v="2024-10-22T00:00:00"/>
        <d v="2024-04-14T00:00:00"/>
        <d v="2024-06-03T00:00:00"/>
        <d v="2024-03-08T00:00:00"/>
        <d v="2024-07-08T00:00:00"/>
        <d v="2024-09-11T00:00:00"/>
        <d v="2024-07-14T00:00:00"/>
        <d v="2024-04-28T00:00:00"/>
        <d v="2024-10-17T00:00:00"/>
        <d v="2024-03-23T00:00:00"/>
        <d v="2024-10-09T00:00:00"/>
        <d v="2024-10-23T00:00:00"/>
        <d v="2024-05-20T00:00:00"/>
        <d v="2024-01-17T00:00:00"/>
        <d v="2024-11-08T00:00:00"/>
        <d v="2024-02-05T00:00:00"/>
        <d v="2024-02-08T00:00:00"/>
        <d v="2024-05-17T00:00:00"/>
        <d v="2024-04-01T00:00:00"/>
        <d v="2024-05-16T00:00:00"/>
        <d v="2024-02-13T00:00:00"/>
        <d v="2024-02-26T00:00:00"/>
        <d v="2024-12-01T00:00:00"/>
        <d v="2024-07-11T00:00:00"/>
        <d v="2024-01-09T00:00:00"/>
        <d v="2024-06-24T00:00:00"/>
        <d v="2024-12-08T00:00:00"/>
        <d v="2024-05-07T00:00:00"/>
        <d v="2024-03-07T00:00:00"/>
        <d v="2024-08-24T00:00:00"/>
        <d v="2024-10-29T00:00:00"/>
        <d v="2024-10-24T00:00:00"/>
        <d v="2024-06-26T00:00:00"/>
        <d v="2024-09-12T00:00:00"/>
        <d v="2024-04-22T00:00:00"/>
        <d v="2024-03-19T00:00:00"/>
        <d v="2024-11-22T00:00:00"/>
        <d v="2024-07-23T00:00:00"/>
        <d v="2024-06-15T00:00:00"/>
        <d v="2024-11-15T00:00:00"/>
        <d v="2024-10-12T00:00:00"/>
        <d v="2024-12-29T00:00:00"/>
        <d v="2024-11-26T00:00:00"/>
        <d v="2024-04-27T00:00:00"/>
        <d v="2024-05-28T00:00:00"/>
        <d v="2024-01-06T00:00:00"/>
        <d v="2024-02-18T00:00:00"/>
        <d v="2024-06-18T00:00:00"/>
        <d v="2024-12-10T00:00:00"/>
        <d v="2024-03-31T00:00:00"/>
        <d v="2024-11-27T00:00:00"/>
        <d v="2024-05-14T00:00:00"/>
        <d v="2024-03-10T00:00:00"/>
        <d v="2024-02-15T00:00:00"/>
        <d v="2024-01-10T00:00:00"/>
        <d v="2024-11-16T00:00:00"/>
        <d v="2024-11-24T00:00:00"/>
        <d v="2024-11-17T00:00:00"/>
        <d v="2024-12-21T00:00:00"/>
        <d v="2024-08-14T00:00:00"/>
        <d v="2024-01-12T00:00:00"/>
        <d v="2024-12-11T00:00:00"/>
        <d v="2024-02-02T00:00:00"/>
        <d v="2024-09-08T00:00:00"/>
        <d v="2024-01-24T00:00:00"/>
        <d v="2024-11-09T00:00:00"/>
        <d v="2024-02-22T00:00:00"/>
        <d v="2024-03-28T00:00:00"/>
        <d v="2024-04-10T00:00:00"/>
        <d v="2024-04-15T00:00:00"/>
        <d v="2024-08-23T00:00:00"/>
        <d v="2024-04-04T00:00:00"/>
        <d v="2024-04-21T00:00:00"/>
        <d v="2024-09-21T00:00:00"/>
        <d v="2024-04-20T00:00:00"/>
        <d v="2024-10-27T00:00:00"/>
        <d v="2024-03-12T00:00:00"/>
        <d v="2024-04-23T00:00:00"/>
        <d v="2024-03-13T00:00:00"/>
        <d v="2024-07-15T00:00:00"/>
        <d v="2024-06-07T00:00:00"/>
        <d v="2024-10-14T00:00:00"/>
        <d v="2024-12-02T00:00:00"/>
        <d v="2024-11-19T00:00:00"/>
        <d v="2024-02-29T00:00:00"/>
        <d v="2024-10-25T00:00:00"/>
        <d v="2024-01-03T00:00:00"/>
        <d v="2024-09-26T00:00:00"/>
        <d v="2024-07-07T00:00:00"/>
        <d v="2024-09-10T00:00:00"/>
        <d v="2024-08-26T00:00:00"/>
        <d v="2024-10-05T00:00:00"/>
        <d v="2024-11-01T00:00:00"/>
        <d v="2024-08-04T00:00:00"/>
        <d v="2024-07-04T00:00:00"/>
        <d v="2024-03-21T00:00:00"/>
        <d v="2024-06-25T00:00:00"/>
        <d v="2024-06-09T00:00:00"/>
        <d v="2024-02-04T00:00:00"/>
        <d v="2024-08-02T00:00:00"/>
        <d v="2024-07-16T00:00:00"/>
        <d v="2024-09-09T00:00:00"/>
        <d v="2024-06-02T00:00:00"/>
        <d v="2024-01-18T00:00:00"/>
        <d v="2024-08-09T00:00:00"/>
        <d v="2024-12-06T00:00:00"/>
        <d v="2024-02-21T00:00:00"/>
        <d v="2024-07-30T00:00:00"/>
        <d v="2024-12-25T00:00:00"/>
        <d v="2024-04-17T00:00:00"/>
        <d v="2024-05-30T00:00:00"/>
        <d v="2024-12-18T00:00:00"/>
        <d v="2024-01-21T00:00:00"/>
        <d v="2024-06-19T00:00:00"/>
        <d v="2024-10-26T00:00:00"/>
        <d v="2024-02-25T00:00:00"/>
        <d v="2024-02-17T00:00:00"/>
        <d v="2024-11-25T00:00:00"/>
        <d v="2024-05-10T00:00:00"/>
        <d v="2024-06-20T00:00:00"/>
        <d v="2024-11-18T00:00:00"/>
        <d v="2024-10-11T00:00:00"/>
        <d v="2024-06-28T00:00:00"/>
        <d v="2024-03-04T00:00:00"/>
        <d v="2024-11-21T00:00:00"/>
        <d v="2024-03-15T00:00:00"/>
        <d v="2024-11-04T00:00:00"/>
        <d v="2024-09-06T00:00:00"/>
        <d v="2024-11-10T00:00:00"/>
        <d v="2024-07-18T00:00:00"/>
        <d v="2024-06-08T00:00:00"/>
        <d v="2024-11-12T00:00:00"/>
        <d v="2024-09-23T00:00:00"/>
        <d v="2024-02-01T00:00:00"/>
        <d v="2024-01-19T00:00:00"/>
        <d v="2024-08-15T00:00:00"/>
        <d v="2024-07-09T00:00:00"/>
        <d v="2024-12-17T00:00:00"/>
        <d v="2024-05-15T00:00:00"/>
        <d v="2024-01-25T00:00:00"/>
        <d v="2024-08-20T00:00:00"/>
        <d v="2024-02-14T00:00:00"/>
        <d v="2024-03-26T00:00:00"/>
        <d v="2024-04-16T00:00:00"/>
        <d v="2024-03-09T00:00:00"/>
        <d v="2024-01-30T00:00:00"/>
        <d v="2024-03-27T00:00:00"/>
        <d v="2024-04-24T00:00:00"/>
        <d v="2024-12-24T00:00:00"/>
        <d v="2024-07-05T00:00:00"/>
        <d v="2024-06-11T00:00:00"/>
        <d v="2024-07-25T00:00:00"/>
        <d v="2024-01-31T00:00:00"/>
        <d v="2024-05-06T00:00:00"/>
        <d v="2024-02-12T00:00:00"/>
        <d v="2024-02-28T00:00:00"/>
        <d v="2024-04-11T00:00:00"/>
        <d v="2024-02-23T00:00:00"/>
        <d v="2024-12-07T00:00:00"/>
        <d v="2024-05-08T00:00:00"/>
        <d v="2024-11-30T00:00:00"/>
        <d v="2024-09-13T00:00:00"/>
        <d v="2024-10-16T00:00:00"/>
        <d v="2024-10-31T00:00:00"/>
        <d v="2024-06-01T00:00:00"/>
        <d v="2024-11-07T00:00:00"/>
        <d v="2024-03-20T00:00:00"/>
        <d v="2024-12-31T00:00:00"/>
        <d v="2024-05-13T00:00:00"/>
        <d v="2024-06-05T00:00:00"/>
        <d v="2024-01-07T00:00:00"/>
        <d v="2024-04-13T00:00:00"/>
        <d v="2024-01-02T00:00:00"/>
        <d v="2024-12-15T00:00:00"/>
        <d v="2024-07-31T00:00:00"/>
        <d v="2024-09-07T00:00:00"/>
        <d v="2024-01-08T00:00:00"/>
        <d v="2024-07-17T00:00:00"/>
        <d v="2024-09-22T00:00:00"/>
        <d v="2024-11-03T00:00:00"/>
        <d v="2024-09-20T00:00:00"/>
        <d v="2024-04-05T00:00:00"/>
        <d v="2024-06-23T00:00:00"/>
        <d v="2024-07-13T00:00:00"/>
        <d v="2024-04-08T00:00:00"/>
        <d v="2024-06-04T00:00:00"/>
        <d v="2024-11-06T00:00:00"/>
        <d v="2024-08-12T00:00:00"/>
        <d v="2024-10-20T00:00:00"/>
        <d v="2024-08-10T00:00:00"/>
        <d v="2024-01-20T00:00:00"/>
        <d v="2024-09-16T00:00:00"/>
        <d v="2024-12-30T00:00:00"/>
        <d v="2024-11-11T00:00:00"/>
        <d v="2024-10-10T00:00:00"/>
        <d v="2024-01-01T00:00:00"/>
        <d v="2024-11-05T00:00:00"/>
        <d v="2024-08-27T00:00:00"/>
        <d v="2024-12-23T00:00:00"/>
        <d v="2024-06-13T00:00:00"/>
        <d v="2024-10-30T00:00:00"/>
        <d v="2024-05-03T00:00:00"/>
        <d v="2024-09-17T00:00:00"/>
        <d v="2024-03-16T00:00:00"/>
        <d v="2024-04-02T00:00:00"/>
        <d v="2024-08-21T00:00:00"/>
        <d v="2024-10-06T00:00:00"/>
        <d v="2024-08-08T00:00:00"/>
        <d v="2024-08-06T00:00:00"/>
        <d v="2024-04-18T00:00:00"/>
      </sharedItems>
      <fieldGroup par="22" base="2">
        <rangePr groupBy="days" startDate="2024-01-01T00:00:00" endDate="2025-01-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5"/>
        </groupItems>
      </fieldGroup>
    </cacheField>
    <cacheField name="User ID" numFmtId="0">
      <sharedItems containsSemiMixedTypes="0" containsString="0" containsNumber="1" containsInteger="1" minValue="10001" maxValue="10498"/>
    </cacheField>
    <cacheField name="User Gender" numFmtId="0">
      <sharedItems/>
    </cacheField>
    <cacheField name="User Age" numFmtId="0">
      <sharedItems containsSemiMixedTypes="0" containsString="0" containsNumber="1" containsInteger="1" minValue="18" maxValue="55"/>
    </cacheField>
    <cacheField name="Pickup Station" numFmtId="0">
      <sharedItems count="12">
        <s v="Silicon Oasis"/>
        <s v="JLT"/>
        <s v="Bur Dubai"/>
        <s v="Dubai Marina"/>
        <s v="Business Bay"/>
        <s v="Palm Jumeirah"/>
        <s v="City Walk"/>
        <s v="Jumeirah"/>
        <s v="Al Barsha"/>
        <s v="Downtown Dubai"/>
        <s v="Karama"/>
        <s v="Deira"/>
      </sharedItems>
    </cacheField>
    <cacheField name="Drop Station" numFmtId="0">
      <sharedItems/>
    </cacheField>
    <cacheField name="Ride Duration (Minutes)" numFmtId="0">
      <sharedItems containsSemiMixedTypes="0" containsString="0" containsNumber="1" containsInteger="1" minValue="5" maxValue="60"/>
    </cacheField>
    <cacheField name="Distance (KM)" numFmtId="0">
      <sharedItems containsSemiMixedTypes="0" containsString="0" containsNumber="1" minValue="1.01" maxValue="14.87"/>
    </cacheField>
    <cacheField name="Ride Type" numFmtId="0">
      <sharedItems count="2">
        <s v="Regular Bike"/>
        <s v="Electric Bike"/>
      </sharedItems>
    </cacheField>
    <cacheField name="Payment Method" numFmtId="0">
      <sharedItems count="3">
        <s v="Wallet"/>
        <s v="Careem Pay"/>
        <s v="Card"/>
      </sharedItems>
    </cacheField>
    <cacheField name="Ride Cost (AED)" numFmtId="0">
      <sharedItems containsSemiMixedTypes="0" containsString="0" containsNumber="1" minValue="4" maxValue="17"/>
    </cacheField>
    <cacheField name="Subscription Type" numFmtId="0">
      <sharedItems count="4">
        <s v="Daily Pass"/>
        <s v="Pay Per Ride"/>
        <s v="Monthly Pass"/>
        <s v="Yearly Pass"/>
      </sharedItems>
    </cacheField>
    <cacheField name="Total Rides" numFmtId="0">
      <sharedItems containsString="0" containsBlank="1" containsNumber="1" containsInteger="1" minValue="346" maxValue="346"/>
    </cacheField>
    <cacheField name="Total Cost" numFmtId="0">
      <sharedItems containsString="0" containsBlank="1" containsNumber="1" minValue="3657.5999999999985" maxValue="3657.5999999999985"/>
    </cacheField>
    <cacheField name="Average Cost" numFmtId="0">
      <sharedItems containsString="0" containsBlank="1" containsNumber="1" minValue="10.601739130434778" maxValue="10.601739130434778"/>
    </cacheField>
    <cacheField name="Average Ride" numFmtId="0">
      <sharedItems containsString="0" containsBlank="1" containsNumber="1" minValue="33.428985507246374" maxValue="33.428985507246374"/>
    </cacheField>
    <cacheField name="Total Male" numFmtId="0">
      <sharedItems containsString="0" containsBlank="1" containsNumber="1" containsInteger="1" minValue="158" maxValue="158"/>
    </cacheField>
    <cacheField name="Total Female" numFmtId="0">
      <sharedItems containsString="0" containsBlank="1" containsNumber="1" containsInteger="1" minValue="187" maxValue="187"/>
    </cacheField>
    <cacheField name="Regular Bike" numFmtId="0">
      <sharedItems containsString="0" containsBlank="1" containsNumber="1" containsInteger="1" minValue="187" maxValue="187"/>
    </cacheField>
    <cacheField name="Electric Bike" numFmtId="0">
      <sharedItems containsString="0" containsBlank="1" containsNumber="1" containsInteger="1" minValue="158" maxValue="158"/>
    </cacheField>
    <cacheField name="Months" numFmtId="0" databaseField="0">
      <fieldGroup base="2">
        <rangePr groupBy="months" startDate="2024-01-01T00:00:00" endDate="2025-01-01T00:00:00"/>
        <groupItems count="14">
          <s v="&lt;1/1/2024"/>
          <s v="Jan"/>
          <s v="Feb"/>
          <s v="Mar"/>
          <s v="Apr"/>
          <s v="May"/>
          <s v="Jun"/>
          <s v="Jul"/>
          <s v="Aug"/>
          <s v="Sep"/>
          <s v="Oct"/>
          <s v="Nov"/>
          <s v="Dec"/>
          <s v="&gt;1/1/2025"/>
        </groupItems>
      </fieldGroup>
    </cacheField>
  </cacheFields>
  <extLst>
    <ext xmlns:x14="http://schemas.microsoft.com/office/spreadsheetml/2009/9/main" uri="{725AE2AE-9491-48be-B2B4-4EB974FC3084}">
      <x14:pivotCacheDefinition pivotCacheId="6914145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5">
  <r>
    <x v="0"/>
    <x v="0"/>
    <x v="0"/>
    <n v="10134"/>
    <s v="Female"/>
    <n v="26"/>
    <x v="0"/>
    <s v="Karama"/>
    <n v="42"/>
    <n v="9.27"/>
    <x v="0"/>
    <x v="0"/>
    <n v="11.4"/>
    <x v="0"/>
    <n v="346"/>
    <n v="3657.5999999999985"/>
    <n v="10.601739130434778"/>
    <n v="33.428985507246374"/>
    <n v="158"/>
    <n v="187"/>
    <n v="187"/>
    <n v="158"/>
  </r>
  <r>
    <x v="1"/>
    <x v="1"/>
    <x v="1"/>
    <n v="10048"/>
    <s v="Male"/>
    <n v="40"/>
    <x v="1"/>
    <s v="Business Bay"/>
    <n v="34"/>
    <n v="5.49"/>
    <x v="0"/>
    <x v="1"/>
    <n v="9.8000000000000007"/>
    <x v="1"/>
    <m/>
    <m/>
    <m/>
    <m/>
    <m/>
    <m/>
    <m/>
    <m/>
  </r>
  <r>
    <x v="2"/>
    <x v="2"/>
    <x v="2"/>
    <n v="10292"/>
    <s v="Male"/>
    <n v="30"/>
    <x v="2"/>
    <s v="Al Barsha"/>
    <n v="7"/>
    <n v="11.43"/>
    <x v="0"/>
    <x v="1"/>
    <n v="4.4000000000000004"/>
    <x v="2"/>
    <m/>
    <m/>
    <m/>
    <m/>
    <m/>
    <m/>
    <m/>
    <m/>
  </r>
  <r>
    <x v="3"/>
    <x v="3"/>
    <x v="3"/>
    <n v="10251"/>
    <s v="Male"/>
    <n v="51"/>
    <x v="3"/>
    <s v="Dubai Marina"/>
    <n v="52"/>
    <n v="3.71"/>
    <x v="0"/>
    <x v="1"/>
    <n v="13.4"/>
    <x v="1"/>
    <m/>
    <m/>
    <m/>
    <m/>
    <m/>
    <m/>
    <m/>
    <m/>
  </r>
  <r>
    <x v="4"/>
    <x v="4"/>
    <x v="4"/>
    <n v="10331"/>
    <s v="Female"/>
    <n v="37"/>
    <x v="4"/>
    <s v="Palm Jumeirah"/>
    <n v="40"/>
    <n v="10.82"/>
    <x v="0"/>
    <x v="2"/>
    <n v="11"/>
    <x v="3"/>
    <m/>
    <m/>
    <m/>
    <m/>
    <m/>
    <m/>
    <m/>
    <m/>
  </r>
  <r>
    <x v="5"/>
    <x v="0"/>
    <x v="5"/>
    <n v="10384"/>
    <s v="Male"/>
    <n v="41"/>
    <x v="5"/>
    <s v="Silicon Oasis"/>
    <n v="39"/>
    <n v="2.65"/>
    <x v="1"/>
    <x v="1"/>
    <n v="12.8"/>
    <x v="0"/>
    <m/>
    <m/>
    <m/>
    <m/>
    <m/>
    <m/>
    <m/>
    <m/>
  </r>
  <r>
    <x v="6"/>
    <x v="5"/>
    <x v="6"/>
    <n v="10064"/>
    <s v="Female"/>
    <n v="35"/>
    <x v="6"/>
    <s v="Karama"/>
    <n v="12"/>
    <n v="5"/>
    <x v="0"/>
    <x v="2"/>
    <n v="5.4"/>
    <x v="0"/>
    <m/>
    <m/>
    <m/>
    <m/>
    <m/>
    <m/>
    <m/>
    <m/>
  </r>
  <r>
    <x v="7"/>
    <x v="6"/>
    <x v="7"/>
    <n v="10326"/>
    <s v="Female"/>
    <n v="19"/>
    <x v="1"/>
    <s v="Deira"/>
    <n v="32"/>
    <n v="12.8"/>
    <x v="0"/>
    <x v="2"/>
    <n v="9.4"/>
    <x v="0"/>
    <m/>
    <m/>
    <m/>
    <m/>
    <m/>
    <m/>
    <m/>
    <m/>
  </r>
  <r>
    <x v="8"/>
    <x v="6"/>
    <x v="8"/>
    <n v="10455"/>
    <s v="Male"/>
    <n v="21"/>
    <x v="1"/>
    <s v="Al Barsha"/>
    <n v="46"/>
    <n v="7.91"/>
    <x v="0"/>
    <x v="2"/>
    <n v="12.2"/>
    <x v="3"/>
    <m/>
    <m/>
    <m/>
    <m/>
    <m/>
    <m/>
    <m/>
    <m/>
  </r>
  <r>
    <x v="9"/>
    <x v="7"/>
    <x v="9"/>
    <n v="10072"/>
    <s v="Female"/>
    <n v="21"/>
    <x v="6"/>
    <s v="JLT"/>
    <n v="13"/>
    <n v="8.86"/>
    <x v="1"/>
    <x v="1"/>
    <n v="7.6"/>
    <x v="1"/>
    <m/>
    <m/>
    <m/>
    <m/>
    <m/>
    <m/>
    <m/>
    <m/>
  </r>
  <r>
    <x v="10"/>
    <x v="2"/>
    <x v="2"/>
    <n v="10269"/>
    <s v="Male"/>
    <n v="54"/>
    <x v="3"/>
    <s v="Silicon Oasis"/>
    <n v="16"/>
    <n v="14.29"/>
    <x v="1"/>
    <x v="2"/>
    <n v="8.1999999999999993"/>
    <x v="3"/>
    <m/>
    <m/>
    <m/>
    <m/>
    <m/>
    <m/>
    <m/>
    <m/>
  </r>
  <r>
    <x v="11"/>
    <x v="0"/>
    <x v="10"/>
    <n v="10436"/>
    <s v="Female"/>
    <n v="55"/>
    <x v="0"/>
    <s v="Al Barsha"/>
    <n v="59"/>
    <n v="1.65"/>
    <x v="0"/>
    <x v="2"/>
    <n v="14.8"/>
    <x v="3"/>
    <m/>
    <m/>
    <m/>
    <m/>
    <m/>
    <m/>
    <m/>
    <m/>
  </r>
  <r>
    <x v="12"/>
    <x v="8"/>
    <x v="11"/>
    <n v="10226"/>
    <s v="Male"/>
    <n v="51"/>
    <x v="7"/>
    <s v="City Walk"/>
    <n v="25"/>
    <n v="1.54"/>
    <x v="0"/>
    <x v="2"/>
    <n v="8"/>
    <x v="1"/>
    <m/>
    <m/>
    <m/>
    <m/>
    <m/>
    <m/>
    <m/>
    <m/>
  </r>
  <r>
    <x v="13"/>
    <x v="9"/>
    <x v="12"/>
    <n v="10187"/>
    <s v="Female"/>
    <n v="52"/>
    <x v="5"/>
    <s v="Silicon Oasis"/>
    <n v="8"/>
    <n v="2.31"/>
    <x v="1"/>
    <x v="2"/>
    <n v="6.6"/>
    <x v="3"/>
    <m/>
    <m/>
    <m/>
    <m/>
    <m/>
    <m/>
    <m/>
    <m/>
  </r>
  <r>
    <x v="14"/>
    <x v="10"/>
    <x v="13"/>
    <n v="10053"/>
    <s v="Female"/>
    <n v="43"/>
    <x v="3"/>
    <s v="Silicon Oasis"/>
    <n v="46"/>
    <n v="10.6"/>
    <x v="0"/>
    <x v="0"/>
    <n v="12.2"/>
    <x v="3"/>
    <m/>
    <m/>
    <m/>
    <m/>
    <m/>
    <m/>
    <m/>
    <m/>
  </r>
  <r>
    <x v="15"/>
    <x v="6"/>
    <x v="14"/>
    <n v="10172"/>
    <s v="Female"/>
    <n v="38"/>
    <x v="4"/>
    <s v="Jumeirah"/>
    <n v="17"/>
    <n v="8.24"/>
    <x v="1"/>
    <x v="2"/>
    <n v="8.4"/>
    <x v="2"/>
    <m/>
    <m/>
    <m/>
    <m/>
    <m/>
    <m/>
    <m/>
    <m/>
  </r>
  <r>
    <x v="16"/>
    <x v="10"/>
    <x v="15"/>
    <n v="10037"/>
    <s v="Female"/>
    <n v="29"/>
    <x v="4"/>
    <s v="Bur Dubai"/>
    <n v="12"/>
    <n v="7.18"/>
    <x v="1"/>
    <x v="1"/>
    <n v="7.4"/>
    <x v="3"/>
    <m/>
    <m/>
    <m/>
    <m/>
    <m/>
    <m/>
    <m/>
    <m/>
  </r>
  <r>
    <x v="17"/>
    <x v="6"/>
    <x v="7"/>
    <n v="10132"/>
    <s v="Female"/>
    <n v="31"/>
    <x v="0"/>
    <s v="Jumeirah"/>
    <n v="26"/>
    <n v="7.95"/>
    <x v="0"/>
    <x v="1"/>
    <n v="8.1999999999999993"/>
    <x v="2"/>
    <m/>
    <m/>
    <m/>
    <m/>
    <m/>
    <m/>
    <m/>
    <m/>
  </r>
  <r>
    <x v="18"/>
    <x v="0"/>
    <x v="16"/>
    <n v="10104"/>
    <s v="Female"/>
    <n v="18"/>
    <x v="6"/>
    <s v="Bur Dubai"/>
    <n v="59"/>
    <n v="2.68"/>
    <x v="0"/>
    <x v="2"/>
    <n v="14.8"/>
    <x v="2"/>
    <m/>
    <m/>
    <m/>
    <m/>
    <m/>
    <m/>
    <m/>
    <m/>
  </r>
  <r>
    <x v="19"/>
    <x v="7"/>
    <x v="17"/>
    <n v="10243"/>
    <s v="Male"/>
    <n v="23"/>
    <x v="5"/>
    <s v="Silicon Oasis"/>
    <n v="8"/>
    <n v="8.86"/>
    <x v="1"/>
    <x v="2"/>
    <n v="6.6"/>
    <x v="3"/>
    <m/>
    <m/>
    <m/>
    <m/>
    <m/>
    <m/>
    <m/>
    <m/>
  </r>
  <r>
    <x v="20"/>
    <x v="9"/>
    <x v="18"/>
    <n v="10096"/>
    <s v="Male"/>
    <n v="18"/>
    <x v="2"/>
    <s v="Palm Jumeirah"/>
    <n v="32"/>
    <n v="2.97"/>
    <x v="1"/>
    <x v="2"/>
    <n v="11.4"/>
    <x v="1"/>
    <m/>
    <m/>
    <m/>
    <m/>
    <m/>
    <m/>
    <m/>
    <m/>
  </r>
  <r>
    <x v="21"/>
    <x v="7"/>
    <x v="19"/>
    <n v="10398"/>
    <s v="Male"/>
    <n v="21"/>
    <x v="8"/>
    <s v="Bur Dubai"/>
    <n v="8"/>
    <n v="5.1100000000000003"/>
    <x v="0"/>
    <x v="0"/>
    <n v="4.5999999999999996"/>
    <x v="0"/>
    <m/>
    <m/>
    <m/>
    <m/>
    <m/>
    <m/>
    <m/>
    <m/>
  </r>
  <r>
    <x v="22"/>
    <x v="7"/>
    <x v="20"/>
    <n v="10040"/>
    <s v="Male"/>
    <n v="32"/>
    <x v="8"/>
    <s v="City Walk"/>
    <n v="48"/>
    <n v="3.47"/>
    <x v="0"/>
    <x v="2"/>
    <n v="12.6"/>
    <x v="3"/>
    <m/>
    <m/>
    <m/>
    <m/>
    <m/>
    <m/>
    <m/>
    <m/>
  </r>
  <r>
    <x v="23"/>
    <x v="2"/>
    <x v="21"/>
    <n v="10400"/>
    <s v="Female"/>
    <n v="30"/>
    <x v="2"/>
    <s v="Bur Dubai"/>
    <n v="7"/>
    <n v="9.6199999999999992"/>
    <x v="0"/>
    <x v="2"/>
    <n v="4.4000000000000004"/>
    <x v="0"/>
    <m/>
    <m/>
    <m/>
    <m/>
    <m/>
    <m/>
    <m/>
    <m/>
  </r>
  <r>
    <x v="24"/>
    <x v="11"/>
    <x v="22"/>
    <n v="10237"/>
    <s v="Male"/>
    <n v="35"/>
    <x v="1"/>
    <s v="Silicon Oasis"/>
    <n v="10"/>
    <n v="2.89"/>
    <x v="0"/>
    <x v="1"/>
    <n v="5"/>
    <x v="3"/>
    <m/>
    <m/>
    <m/>
    <m/>
    <m/>
    <m/>
    <m/>
    <m/>
  </r>
  <r>
    <x v="25"/>
    <x v="4"/>
    <x v="23"/>
    <n v="10214"/>
    <s v="Female"/>
    <n v="33"/>
    <x v="9"/>
    <s v="Karama"/>
    <n v="44"/>
    <n v="7.81"/>
    <x v="1"/>
    <x v="0"/>
    <n v="13.8"/>
    <x v="1"/>
    <m/>
    <m/>
    <m/>
    <m/>
    <m/>
    <m/>
    <m/>
    <m/>
  </r>
  <r>
    <x v="26"/>
    <x v="3"/>
    <x v="24"/>
    <n v="10240"/>
    <s v="Male"/>
    <n v="53"/>
    <x v="7"/>
    <s v="Bur Dubai"/>
    <n v="48"/>
    <n v="13.48"/>
    <x v="0"/>
    <x v="1"/>
    <n v="12.6"/>
    <x v="1"/>
    <m/>
    <m/>
    <m/>
    <m/>
    <m/>
    <m/>
    <m/>
    <m/>
  </r>
  <r>
    <x v="27"/>
    <x v="3"/>
    <x v="25"/>
    <n v="10478"/>
    <s v="Female"/>
    <n v="42"/>
    <x v="0"/>
    <s v="Palm Jumeirah"/>
    <n v="15"/>
    <n v="5.37"/>
    <x v="0"/>
    <x v="2"/>
    <n v="6"/>
    <x v="0"/>
    <m/>
    <m/>
    <m/>
    <m/>
    <m/>
    <m/>
    <m/>
    <m/>
  </r>
  <r>
    <x v="28"/>
    <x v="10"/>
    <x v="13"/>
    <n v="10386"/>
    <s v="Female"/>
    <n v="25"/>
    <x v="4"/>
    <s v="Jumeirah"/>
    <n v="15"/>
    <n v="4.2300000000000004"/>
    <x v="1"/>
    <x v="2"/>
    <n v="8"/>
    <x v="1"/>
    <m/>
    <m/>
    <m/>
    <m/>
    <m/>
    <m/>
    <m/>
    <m/>
  </r>
  <r>
    <x v="29"/>
    <x v="2"/>
    <x v="26"/>
    <n v="10202"/>
    <s v="Male"/>
    <n v="46"/>
    <x v="6"/>
    <s v="Bur Dubai"/>
    <n v="16"/>
    <n v="14.17"/>
    <x v="0"/>
    <x v="2"/>
    <n v="6.2"/>
    <x v="0"/>
    <m/>
    <m/>
    <m/>
    <m/>
    <m/>
    <m/>
    <m/>
    <m/>
  </r>
  <r>
    <x v="30"/>
    <x v="0"/>
    <x v="16"/>
    <n v="10007"/>
    <s v="Female"/>
    <n v="31"/>
    <x v="0"/>
    <s v="Jumeirah"/>
    <n v="21"/>
    <n v="1.41"/>
    <x v="1"/>
    <x v="1"/>
    <n v="9.1999999999999993"/>
    <x v="2"/>
    <m/>
    <m/>
    <m/>
    <m/>
    <m/>
    <m/>
    <m/>
    <m/>
  </r>
  <r>
    <x v="31"/>
    <x v="0"/>
    <x v="27"/>
    <n v="10291"/>
    <s v="Male"/>
    <n v="49"/>
    <x v="8"/>
    <s v="Karama"/>
    <n v="44"/>
    <n v="3.4"/>
    <x v="0"/>
    <x v="0"/>
    <n v="11.8"/>
    <x v="0"/>
    <m/>
    <m/>
    <m/>
    <m/>
    <m/>
    <m/>
    <m/>
    <m/>
  </r>
  <r>
    <x v="32"/>
    <x v="2"/>
    <x v="28"/>
    <n v="10480"/>
    <s v="Male"/>
    <n v="42"/>
    <x v="1"/>
    <s v="City Walk"/>
    <n v="21"/>
    <n v="8.68"/>
    <x v="1"/>
    <x v="0"/>
    <n v="9.1999999999999993"/>
    <x v="2"/>
    <m/>
    <m/>
    <m/>
    <m/>
    <m/>
    <m/>
    <m/>
    <m/>
  </r>
  <r>
    <x v="33"/>
    <x v="3"/>
    <x v="29"/>
    <n v="10408"/>
    <s v="Female"/>
    <n v="20"/>
    <x v="9"/>
    <s v="Palm Jumeirah"/>
    <n v="56"/>
    <n v="4.28"/>
    <x v="1"/>
    <x v="0"/>
    <n v="16.2"/>
    <x v="2"/>
    <m/>
    <m/>
    <m/>
    <m/>
    <m/>
    <m/>
    <m/>
    <m/>
  </r>
  <r>
    <x v="34"/>
    <x v="3"/>
    <x v="30"/>
    <n v="10031"/>
    <s v="Male"/>
    <n v="44"/>
    <x v="8"/>
    <s v="Jumeirah"/>
    <n v="32"/>
    <n v="14.79"/>
    <x v="1"/>
    <x v="1"/>
    <n v="11.4"/>
    <x v="1"/>
    <m/>
    <m/>
    <m/>
    <m/>
    <m/>
    <m/>
    <m/>
    <m/>
  </r>
  <r>
    <x v="35"/>
    <x v="5"/>
    <x v="31"/>
    <n v="10300"/>
    <s v="Female"/>
    <n v="30"/>
    <x v="5"/>
    <s v="Dubai Marina"/>
    <n v="38"/>
    <n v="5.32"/>
    <x v="1"/>
    <x v="0"/>
    <n v="12.6"/>
    <x v="2"/>
    <m/>
    <m/>
    <m/>
    <m/>
    <m/>
    <m/>
    <m/>
    <m/>
  </r>
  <r>
    <x v="36"/>
    <x v="10"/>
    <x v="32"/>
    <n v="10182"/>
    <s v="Male"/>
    <n v="34"/>
    <x v="1"/>
    <s v="Downtown Dubai"/>
    <n v="34"/>
    <n v="14.64"/>
    <x v="1"/>
    <x v="0"/>
    <n v="11.8"/>
    <x v="3"/>
    <m/>
    <m/>
    <m/>
    <m/>
    <m/>
    <m/>
    <m/>
    <m/>
  </r>
  <r>
    <x v="37"/>
    <x v="3"/>
    <x v="25"/>
    <n v="10055"/>
    <s v="Female"/>
    <n v="34"/>
    <x v="6"/>
    <s v="JLT"/>
    <n v="59"/>
    <n v="14.1"/>
    <x v="1"/>
    <x v="1"/>
    <n v="16.8"/>
    <x v="1"/>
    <m/>
    <m/>
    <m/>
    <m/>
    <m/>
    <m/>
    <m/>
    <m/>
  </r>
  <r>
    <x v="38"/>
    <x v="11"/>
    <x v="33"/>
    <n v="10425"/>
    <s v="Male"/>
    <n v="21"/>
    <x v="10"/>
    <s v="Business Bay"/>
    <n v="51"/>
    <n v="1.1599999999999999"/>
    <x v="0"/>
    <x v="0"/>
    <n v="13.2"/>
    <x v="1"/>
    <m/>
    <m/>
    <m/>
    <m/>
    <m/>
    <m/>
    <m/>
    <m/>
  </r>
  <r>
    <x v="39"/>
    <x v="8"/>
    <x v="34"/>
    <n v="10323"/>
    <s v="Male"/>
    <n v="54"/>
    <x v="5"/>
    <s v="City Walk"/>
    <n v="50"/>
    <n v="8.33"/>
    <x v="1"/>
    <x v="1"/>
    <n v="15"/>
    <x v="0"/>
    <m/>
    <m/>
    <m/>
    <m/>
    <m/>
    <m/>
    <m/>
    <m/>
  </r>
  <r>
    <x v="40"/>
    <x v="5"/>
    <x v="35"/>
    <n v="10221"/>
    <s v="Female"/>
    <n v="22"/>
    <x v="1"/>
    <s v="Deira"/>
    <n v="47"/>
    <n v="8.08"/>
    <x v="0"/>
    <x v="2"/>
    <n v="12.4"/>
    <x v="3"/>
    <m/>
    <m/>
    <m/>
    <m/>
    <m/>
    <m/>
    <m/>
    <m/>
  </r>
  <r>
    <x v="41"/>
    <x v="2"/>
    <x v="36"/>
    <n v="10389"/>
    <s v="Male"/>
    <n v="41"/>
    <x v="5"/>
    <s v="JLT"/>
    <n v="54"/>
    <n v="7.04"/>
    <x v="0"/>
    <x v="0"/>
    <n v="13.8"/>
    <x v="0"/>
    <m/>
    <m/>
    <m/>
    <m/>
    <m/>
    <m/>
    <m/>
    <m/>
  </r>
  <r>
    <x v="42"/>
    <x v="7"/>
    <x v="17"/>
    <n v="10409"/>
    <s v="Male"/>
    <n v="55"/>
    <x v="10"/>
    <s v="Karama"/>
    <n v="27"/>
    <n v="11.79"/>
    <x v="0"/>
    <x v="1"/>
    <n v="8.4"/>
    <x v="3"/>
    <m/>
    <m/>
    <m/>
    <m/>
    <m/>
    <m/>
    <m/>
    <m/>
  </r>
  <r>
    <x v="43"/>
    <x v="9"/>
    <x v="37"/>
    <n v="10043"/>
    <s v="Female"/>
    <n v="41"/>
    <x v="6"/>
    <s v="Jumeirah"/>
    <n v="28"/>
    <n v="12.5"/>
    <x v="0"/>
    <x v="0"/>
    <n v="8.6"/>
    <x v="1"/>
    <m/>
    <m/>
    <m/>
    <m/>
    <m/>
    <m/>
    <m/>
    <m/>
  </r>
  <r>
    <x v="44"/>
    <x v="1"/>
    <x v="38"/>
    <n v="10222"/>
    <s v="Male"/>
    <n v="31"/>
    <x v="5"/>
    <s v="Downtown Dubai"/>
    <n v="54"/>
    <n v="2.46"/>
    <x v="1"/>
    <x v="2"/>
    <n v="15.8"/>
    <x v="1"/>
    <m/>
    <m/>
    <m/>
    <m/>
    <m/>
    <m/>
    <m/>
    <m/>
  </r>
  <r>
    <x v="45"/>
    <x v="11"/>
    <x v="22"/>
    <n v="10175"/>
    <s v="Male"/>
    <n v="32"/>
    <x v="10"/>
    <s v="JLT"/>
    <n v="54"/>
    <n v="11.65"/>
    <x v="1"/>
    <x v="1"/>
    <n v="15.8"/>
    <x v="0"/>
    <m/>
    <m/>
    <m/>
    <m/>
    <m/>
    <m/>
    <m/>
    <m/>
  </r>
  <r>
    <x v="46"/>
    <x v="7"/>
    <x v="39"/>
    <n v="10084"/>
    <s v="Male"/>
    <n v="30"/>
    <x v="10"/>
    <s v="Silicon Oasis"/>
    <n v="58"/>
    <n v="9.81"/>
    <x v="0"/>
    <x v="2"/>
    <n v="14.6"/>
    <x v="0"/>
    <m/>
    <m/>
    <m/>
    <m/>
    <m/>
    <m/>
    <m/>
    <m/>
  </r>
  <r>
    <x v="47"/>
    <x v="7"/>
    <x v="40"/>
    <n v="10360"/>
    <s v="Male"/>
    <n v="26"/>
    <x v="2"/>
    <s v="Deira"/>
    <n v="27"/>
    <n v="13.91"/>
    <x v="0"/>
    <x v="2"/>
    <n v="8.4"/>
    <x v="1"/>
    <m/>
    <m/>
    <m/>
    <m/>
    <m/>
    <m/>
    <m/>
    <m/>
  </r>
  <r>
    <x v="48"/>
    <x v="8"/>
    <x v="41"/>
    <n v="10036"/>
    <s v="Female"/>
    <n v="35"/>
    <x v="10"/>
    <s v="Downtown Dubai"/>
    <n v="52"/>
    <n v="11.6"/>
    <x v="0"/>
    <x v="0"/>
    <n v="13.4"/>
    <x v="2"/>
    <m/>
    <m/>
    <m/>
    <m/>
    <m/>
    <m/>
    <m/>
    <m/>
  </r>
  <r>
    <x v="49"/>
    <x v="6"/>
    <x v="42"/>
    <n v="10381"/>
    <s v="Male"/>
    <n v="47"/>
    <x v="5"/>
    <s v="Silicon Oasis"/>
    <n v="25"/>
    <n v="5.88"/>
    <x v="0"/>
    <x v="2"/>
    <n v="8"/>
    <x v="2"/>
    <m/>
    <m/>
    <m/>
    <m/>
    <m/>
    <m/>
    <m/>
    <m/>
  </r>
  <r>
    <x v="50"/>
    <x v="2"/>
    <x v="28"/>
    <n v="10156"/>
    <s v="Male"/>
    <n v="42"/>
    <x v="3"/>
    <s v="Jumeirah"/>
    <n v="47"/>
    <n v="4.58"/>
    <x v="0"/>
    <x v="0"/>
    <n v="12.4"/>
    <x v="3"/>
    <m/>
    <m/>
    <m/>
    <m/>
    <m/>
    <m/>
    <m/>
    <m/>
  </r>
  <r>
    <x v="51"/>
    <x v="0"/>
    <x v="43"/>
    <n v="10078"/>
    <s v="Male"/>
    <n v="23"/>
    <x v="10"/>
    <s v="Downtown Dubai"/>
    <n v="39"/>
    <n v="14.28"/>
    <x v="0"/>
    <x v="2"/>
    <n v="10.8"/>
    <x v="2"/>
    <m/>
    <m/>
    <m/>
    <m/>
    <m/>
    <m/>
    <m/>
    <m/>
  </r>
  <r>
    <x v="52"/>
    <x v="9"/>
    <x v="44"/>
    <n v="10026"/>
    <s v="Female"/>
    <n v="22"/>
    <x v="6"/>
    <s v="Business Bay"/>
    <n v="11"/>
    <n v="4.78"/>
    <x v="1"/>
    <x v="0"/>
    <n v="7.2"/>
    <x v="1"/>
    <m/>
    <m/>
    <m/>
    <m/>
    <m/>
    <m/>
    <m/>
    <m/>
  </r>
  <r>
    <x v="53"/>
    <x v="4"/>
    <x v="45"/>
    <n v="10258"/>
    <s v="Male"/>
    <n v="29"/>
    <x v="10"/>
    <s v="Bur Dubai"/>
    <n v="52"/>
    <n v="9.3000000000000007"/>
    <x v="1"/>
    <x v="2"/>
    <n v="15.4"/>
    <x v="2"/>
    <m/>
    <m/>
    <m/>
    <m/>
    <m/>
    <m/>
    <m/>
    <m/>
  </r>
  <r>
    <x v="54"/>
    <x v="10"/>
    <x v="46"/>
    <n v="10171"/>
    <s v="Female"/>
    <n v="45"/>
    <x v="0"/>
    <s v="Deira"/>
    <n v="31"/>
    <n v="7.1"/>
    <x v="0"/>
    <x v="2"/>
    <n v="9.1999999999999993"/>
    <x v="2"/>
    <m/>
    <m/>
    <m/>
    <m/>
    <m/>
    <m/>
    <m/>
    <m/>
  </r>
  <r>
    <x v="55"/>
    <x v="8"/>
    <x v="47"/>
    <n v="10396"/>
    <s v="Female"/>
    <n v="24"/>
    <x v="2"/>
    <s v="Jumeirah"/>
    <n v="50"/>
    <n v="3.86"/>
    <x v="0"/>
    <x v="2"/>
    <n v="13"/>
    <x v="0"/>
    <m/>
    <m/>
    <m/>
    <m/>
    <m/>
    <m/>
    <m/>
    <m/>
  </r>
  <r>
    <x v="56"/>
    <x v="4"/>
    <x v="48"/>
    <n v="10303"/>
    <s v="Male"/>
    <n v="54"/>
    <x v="0"/>
    <s v="Al Barsha"/>
    <n v="50"/>
    <n v="4.87"/>
    <x v="0"/>
    <x v="0"/>
    <n v="13"/>
    <x v="3"/>
    <m/>
    <m/>
    <m/>
    <m/>
    <m/>
    <m/>
    <m/>
    <m/>
  </r>
  <r>
    <x v="57"/>
    <x v="7"/>
    <x v="49"/>
    <n v="10491"/>
    <s v="Female"/>
    <n v="19"/>
    <x v="11"/>
    <s v="Palm Jumeirah"/>
    <n v="54"/>
    <n v="12.9"/>
    <x v="1"/>
    <x v="2"/>
    <n v="15.8"/>
    <x v="0"/>
    <m/>
    <m/>
    <m/>
    <m/>
    <m/>
    <m/>
    <m/>
    <m/>
  </r>
  <r>
    <x v="58"/>
    <x v="5"/>
    <x v="50"/>
    <n v="10299"/>
    <s v="Female"/>
    <n v="38"/>
    <x v="0"/>
    <s v="Palm Jumeirah"/>
    <n v="23"/>
    <n v="13.47"/>
    <x v="1"/>
    <x v="1"/>
    <n v="9.6"/>
    <x v="2"/>
    <m/>
    <m/>
    <m/>
    <m/>
    <m/>
    <m/>
    <m/>
    <m/>
  </r>
  <r>
    <x v="59"/>
    <x v="4"/>
    <x v="51"/>
    <n v="10448"/>
    <s v="Male"/>
    <n v="50"/>
    <x v="4"/>
    <s v="City Walk"/>
    <n v="23"/>
    <n v="5.81"/>
    <x v="0"/>
    <x v="0"/>
    <n v="7.6"/>
    <x v="2"/>
    <m/>
    <m/>
    <m/>
    <m/>
    <m/>
    <m/>
    <m/>
    <m/>
  </r>
  <r>
    <x v="60"/>
    <x v="0"/>
    <x v="52"/>
    <n v="10259"/>
    <s v="Female"/>
    <n v="27"/>
    <x v="6"/>
    <s v="Business Bay"/>
    <n v="45"/>
    <n v="6.08"/>
    <x v="0"/>
    <x v="0"/>
    <n v="12"/>
    <x v="0"/>
    <m/>
    <m/>
    <m/>
    <m/>
    <m/>
    <m/>
    <m/>
    <m/>
  </r>
  <r>
    <x v="61"/>
    <x v="2"/>
    <x v="53"/>
    <n v="10492"/>
    <s v="Female"/>
    <n v="40"/>
    <x v="0"/>
    <s v="Deira"/>
    <n v="52"/>
    <n v="11.91"/>
    <x v="0"/>
    <x v="2"/>
    <n v="13.4"/>
    <x v="0"/>
    <m/>
    <m/>
    <m/>
    <m/>
    <m/>
    <m/>
    <m/>
    <m/>
  </r>
  <r>
    <x v="62"/>
    <x v="11"/>
    <x v="54"/>
    <n v="10124"/>
    <s v="Male"/>
    <n v="51"/>
    <x v="7"/>
    <s v="Karama"/>
    <n v="33"/>
    <n v="11.53"/>
    <x v="0"/>
    <x v="0"/>
    <n v="9.6"/>
    <x v="2"/>
    <m/>
    <m/>
    <m/>
    <m/>
    <m/>
    <m/>
    <m/>
    <m/>
  </r>
  <r>
    <x v="63"/>
    <x v="3"/>
    <x v="55"/>
    <n v="10270"/>
    <s v="Female"/>
    <n v="21"/>
    <x v="8"/>
    <s v="Bur Dubai"/>
    <n v="12"/>
    <n v="3.14"/>
    <x v="1"/>
    <x v="0"/>
    <n v="7.4"/>
    <x v="1"/>
    <m/>
    <m/>
    <m/>
    <m/>
    <m/>
    <m/>
    <m/>
    <m/>
  </r>
  <r>
    <x v="64"/>
    <x v="8"/>
    <x v="56"/>
    <n v="10062"/>
    <s v="Female"/>
    <n v="35"/>
    <x v="4"/>
    <s v="Business Bay"/>
    <n v="49"/>
    <n v="13.32"/>
    <x v="0"/>
    <x v="2"/>
    <n v="12.8"/>
    <x v="0"/>
    <m/>
    <m/>
    <m/>
    <m/>
    <m/>
    <m/>
    <m/>
    <m/>
  </r>
  <r>
    <x v="65"/>
    <x v="5"/>
    <x v="57"/>
    <n v="10433"/>
    <s v="Male"/>
    <n v="31"/>
    <x v="5"/>
    <s v="Karama"/>
    <n v="43"/>
    <n v="11.44"/>
    <x v="1"/>
    <x v="2"/>
    <n v="13.6"/>
    <x v="1"/>
    <m/>
    <m/>
    <m/>
    <m/>
    <m/>
    <m/>
    <m/>
    <m/>
  </r>
  <r>
    <x v="66"/>
    <x v="9"/>
    <x v="58"/>
    <n v="10283"/>
    <s v="Male"/>
    <n v="36"/>
    <x v="2"/>
    <s v="Karama"/>
    <n v="5"/>
    <n v="8.7799999999999994"/>
    <x v="1"/>
    <x v="0"/>
    <n v="6"/>
    <x v="2"/>
    <m/>
    <m/>
    <m/>
    <m/>
    <m/>
    <m/>
    <m/>
    <m/>
  </r>
  <r>
    <x v="67"/>
    <x v="4"/>
    <x v="59"/>
    <n v="10185"/>
    <s v="Male"/>
    <n v="18"/>
    <x v="11"/>
    <s v="Jumeirah"/>
    <n v="13"/>
    <n v="9.9"/>
    <x v="1"/>
    <x v="2"/>
    <n v="7.6"/>
    <x v="3"/>
    <m/>
    <m/>
    <m/>
    <m/>
    <m/>
    <m/>
    <m/>
    <m/>
  </r>
  <r>
    <x v="68"/>
    <x v="2"/>
    <x v="60"/>
    <n v="10021"/>
    <s v="Female"/>
    <n v="21"/>
    <x v="4"/>
    <s v="Dubai Marina"/>
    <n v="45"/>
    <n v="9.48"/>
    <x v="1"/>
    <x v="1"/>
    <n v="14"/>
    <x v="2"/>
    <m/>
    <m/>
    <m/>
    <m/>
    <m/>
    <m/>
    <m/>
    <m/>
  </r>
  <r>
    <x v="69"/>
    <x v="8"/>
    <x v="47"/>
    <n v="10307"/>
    <s v="Male"/>
    <n v="46"/>
    <x v="8"/>
    <s v="City Walk"/>
    <n v="29"/>
    <n v="14.51"/>
    <x v="0"/>
    <x v="2"/>
    <n v="8.8000000000000007"/>
    <x v="2"/>
    <m/>
    <m/>
    <m/>
    <m/>
    <m/>
    <m/>
    <m/>
    <m/>
  </r>
  <r>
    <x v="70"/>
    <x v="7"/>
    <x v="20"/>
    <n v="10046"/>
    <s v="Male"/>
    <n v="23"/>
    <x v="5"/>
    <s v="Bur Dubai"/>
    <n v="38"/>
    <n v="2.68"/>
    <x v="0"/>
    <x v="1"/>
    <n v="10.6"/>
    <x v="2"/>
    <m/>
    <m/>
    <m/>
    <m/>
    <m/>
    <m/>
    <m/>
    <m/>
  </r>
  <r>
    <x v="71"/>
    <x v="9"/>
    <x v="61"/>
    <n v="10407"/>
    <s v="Female"/>
    <n v="55"/>
    <x v="0"/>
    <s v="Jumeirah"/>
    <n v="58"/>
    <n v="12.84"/>
    <x v="0"/>
    <x v="2"/>
    <n v="14.6"/>
    <x v="0"/>
    <m/>
    <m/>
    <m/>
    <m/>
    <m/>
    <m/>
    <m/>
    <m/>
  </r>
  <r>
    <x v="72"/>
    <x v="3"/>
    <x v="62"/>
    <n v="10166"/>
    <s v="Female"/>
    <n v="34"/>
    <x v="4"/>
    <s v="JLT"/>
    <n v="52"/>
    <n v="3.21"/>
    <x v="1"/>
    <x v="0"/>
    <n v="15.4"/>
    <x v="2"/>
    <m/>
    <m/>
    <m/>
    <m/>
    <m/>
    <m/>
    <m/>
    <m/>
  </r>
  <r>
    <x v="73"/>
    <x v="11"/>
    <x v="63"/>
    <n v="10179"/>
    <s v="Female"/>
    <n v="53"/>
    <x v="9"/>
    <s v="City Walk"/>
    <n v="46"/>
    <n v="5.81"/>
    <x v="1"/>
    <x v="1"/>
    <n v="14.2"/>
    <x v="0"/>
    <m/>
    <m/>
    <m/>
    <m/>
    <m/>
    <m/>
    <m/>
    <m/>
  </r>
  <r>
    <x v="74"/>
    <x v="5"/>
    <x v="57"/>
    <n v="10428"/>
    <s v="Female"/>
    <n v="24"/>
    <x v="9"/>
    <s v="Jumeirah"/>
    <n v="6"/>
    <n v="12.51"/>
    <x v="1"/>
    <x v="1"/>
    <n v="6.2"/>
    <x v="0"/>
    <m/>
    <m/>
    <m/>
    <m/>
    <m/>
    <m/>
    <m/>
    <m/>
  </r>
  <r>
    <x v="75"/>
    <x v="4"/>
    <x v="64"/>
    <n v="10025"/>
    <s v="Male"/>
    <n v="19"/>
    <x v="5"/>
    <s v="Downtown Dubai"/>
    <n v="59"/>
    <n v="2.68"/>
    <x v="1"/>
    <x v="1"/>
    <n v="16.8"/>
    <x v="1"/>
    <m/>
    <m/>
    <m/>
    <m/>
    <m/>
    <m/>
    <m/>
    <m/>
  </r>
  <r>
    <x v="76"/>
    <x v="4"/>
    <x v="65"/>
    <n v="10490"/>
    <s v="Male"/>
    <n v="48"/>
    <x v="7"/>
    <s v="Palm Jumeirah"/>
    <n v="55"/>
    <n v="7.08"/>
    <x v="0"/>
    <x v="0"/>
    <n v="14"/>
    <x v="0"/>
    <m/>
    <m/>
    <m/>
    <m/>
    <m/>
    <m/>
    <m/>
    <m/>
  </r>
  <r>
    <x v="77"/>
    <x v="4"/>
    <x v="51"/>
    <n v="10387"/>
    <s v="Male"/>
    <n v="39"/>
    <x v="1"/>
    <s v="Downtown Dubai"/>
    <n v="47"/>
    <n v="6.13"/>
    <x v="1"/>
    <x v="2"/>
    <n v="14.4"/>
    <x v="0"/>
    <m/>
    <m/>
    <m/>
    <m/>
    <m/>
    <m/>
    <m/>
    <m/>
  </r>
  <r>
    <x v="78"/>
    <x v="11"/>
    <x v="33"/>
    <n v="10065"/>
    <s v="Female"/>
    <n v="27"/>
    <x v="3"/>
    <s v="Deira"/>
    <n v="8"/>
    <n v="11.67"/>
    <x v="1"/>
    <x v="0"/>
    <n v="6.6"/>
    <x v="0"/>
    <m/>
    <m/>
    <m/>
    <m/>
    <m/>
    <m/>
    <m/>
    <m/>
  </r>
  <r>
    <x v="79"/>
    <x v="4"/>
    <x v="51"/>
    <n v="10083"/>
    <s v="Female"/>
    <n v="55"/>
    <x v="3"/>
    <s v="JLT"/>
    <n v="34"/>
    <n v="12.83"/>
    <x v="1"/>
    <x v="0"/>
    <n v="11.8"/>
    <x v="1"/>
    <m/>
    <m/>
    <m/>
    <m/>
    <m/>
    <m/>
    <m/>
    <m/>
  </r>
  <r>
    <x v="80"/>
    <x v="4"/>
    <x v="66"/>
    <n v="10314"/>
    <s v="Male"/>
    <n v="21"/>
    <x v="11"/>
    <s v="Dubai Marina"/>
    <n v="7"/>
    <n v="5.72"/>
    <x v="0"/>
    <x v="0"/>
    <n v="4.4000000000000004"/>
    <x v="2"/>
    <m/>
    <m/>
    <m/>
    <m/>
    <m/>
    <m/>
    <m/>
    <m/>
  </r>
  <r>
    <x v="81"/>
    <x v="5"/>
    <x v="67"/>
    <n v="10005"/>
    <s v="Female"/>
    <n v="51"/>
    <x v="11"/>
    <s v="Deira"/>
    <n v="59"/>
    <n v="6.2"/>
    <x v="1"/>
    <x v="1"/>
    <n v="16.8"/>
    <x v="1"/>
    <m/>
    <m/>
    <m/>
    <m/>
    <m/>
    <m/>
    <m/>
    <m/>
  </r>
  <r>
    <x v="82"/>
    <x v="1"/>
    <x v="68"/>
    <n v="10234"/>
    <s v="Female"/>
    <n v="51"/>
    <x v="0"/>
    <s v="Jumeirah"/>
    <n v="21"/>
    <n v="11.48"/>
    <x v="0"/>
    <x v="1"/>
    <n v="7.2"/>
    <x v="2"/>
    <m/>
    <m/>
    <m/>
    <m/>
    <m/>
    <m/>
    <m/>
    <m/>
  </r>
  <r>
    <x v="83"/>
    <x v="11"/>
    <x v="69"/>
    <n v="10047"/>
    <s v="Male"/>
    <n v="43"/>
    <x v="3"/>
    <s v="Dubai Marina"/>
    <n v="55"/>
    <n v="9.98"/>
    <x v="0"/>
    <x v="2"/>
    <n v="14"/>
    <x v="3"/>
    <m/>
    <m/>
    <m/>
    <m/>
    <m/>
    <m/>
    <m/>
    <m/>
  </r>
  <r>
    <x v="84"/>
    <x v="5"/>
    <x v="70"/>
    <n v="10099"/>
    <s v="Male"/>
    <n v="34"/>
    <x v="11"/>
    <s v="Bur Dubai"/>
    <n v="32"/>
    <n v="14.3"/>
    <x v="1"/>
    <x v="1"/>
    <n v="11.4"/>
    <x v="2"/>
    <m/>
    <m/>
    <m/>
    <m/>
    <m/>
    <m/>
    <m/>
    <m/>
  </r>
  <r>
    <x v="85"/>
    <x v="3"/>
    <x v="71"/>
    <n v="10413"/>
    <s v="Female"/>
    <n v="27"/>
    <x v="8"/>
    <s v="Bur Dubai"/>
    <n v="58"/>
    <n v="6.88"/>
    <x v="0"/>
    <x v="1"/>
    <n v="14.6"/>
    <x v="1"/>
    <m/>
    <m/>
    <m/>
    <m/>
    <m/>
    <m/>
    <m/>
    <m/>
  </r>
  <r>
    <x v="86"/>
    <x v="6"/>
    <x v="72"/>
    <n v="10248"/>
    <s v="Female"/>
    <n v="21"/>
    <x v="10"/>
    <s v="Deira"/>
    <n v="8"/>
    <n v="8"/>
    <x v="1"/>
    <x v="2"/>
    <n v="6.6"/>
    <x v="3"/>
    <m/>
    <m/>
    <m/>
    <m/>
    <m/>
    <m/>
    <m/>
    <m/>
  </r>
  <r>
    <x v="87"/>
    <x v="11"/>
    <x v="73"/>
    <n v="10443"/>
    <s v="Female"/>
    <n v="24"/>
    <x v="10"/>
    <s v="JLT"/>
    <n v="32"/>
    <n v="14.58"/>
    <x v="0"/>
    <x v="2"/>
    <n v="9.4"/>
    <x v="0"/>
    <m/>
    <m/>
    <m/>
    <m/>
    <m/>
    <m/>
    <m/>
    <m/>
  </r>
  <r>
    <x v="88"/>
    <x v="4"/>
    <x v="74"/>
    <n v="10102"/>
    <s v="Female"/>
    <n v="30"/>
    <x v="7"/>
    <s v="Karama"/>
    <n v="19"/>
    <n v="3.06"/>
    <x v="0"/>
    <x v="2"/>
    <n v="6.8"/>
    <x v="1"/>
    <m/>
    <m/>
    <m/>
    <m/>
    <m/>
    <m/>
    <m/>
    <m/>
  </r>
  <r>
    <x v="89"/>
    <x v="3"/>
    <x v="24"/>
    <n v="10332"/>
    <s v="Male"/>
    <n v="48"/>
    <x v="11"/>
    <s v="JLT"/>
    <n v="6"/>
    <n v="13.03"/>
    <x v="1"/>
    <x v="2"/>
    <n v="6.2"/>
    <x v="2"/>
    <m/>
    <m/>
    <m/>
    <m/>
    <m/>
    <m/>
    <m/>
    <m/>
  </r>
  <r>
    <x v="90"/>
    <x v="3"/>
    <x v="75"/>
    <n v="10220"/>
    <s v="Female"/>
    <n v="43"/>
    <x v="9"/>
    <s v="Dubai Marina"/>
    <n v="57"/>
    <n v="9.91"/>
    <x v="0"/>
    <x v="1"/>
    <n v="14.4"/>
    <x v="1"/>
    <m/>
    <m/>
    <m/>
    <m/>
    <m/>
    <m/>
    <m/>
    <m/>
  </r>
  <r>
    <x v="91"/>
    <x v="9"/>
    <x v="76"/>
    <n v="10197"/>
    <s v="Female"/>
    <n v="25"/>
    <x v="3"/>
    <s v="Silicon Oasis"/>
    <n v="43"/>
    <n v="2.87"/>
    <x v="1"/>
    <x v="2"/>
    <n v="13.6"/>
    <x v="0"/>
    <m/>
    <m/>
    <m/>
    <m/>
    <m/>
    <m/>
    <m/>
    <m/>
  </r>
  <r>
    <x v="92"/>
    <x v="3"/>
    <x v="3"/>
    <n v="10080"/>
    <s v="Male"/>
    <n v="32"/>
    <x v="1"/>
    <s v="Dubai Marina"/>
    <n v="21"/>
    <n v="2.06"/>
    <x v="0"/>
    <x v="2"/>
    <n v="7.2"/>
    <x v="1"/>
    <m/>
    <m/>
    <m/>
    <m/>
    <m/>
    <m/>
    <m/>
    <m/>
  </r>
  <r>
    <x v="93"/>
    <x v="0"/>
    <x v="77"/>
    <n v="10123"/>
    <s v="Female"/>
    <n v="34"/>
    <x v="7"/>
    <s v="Bur Dubai"/>
    <n v="9"/>
    <n v="14.45"/>
    <x v="0"/>
    <x v="1"/>
    <n v="4.8"/>
    <x v="0"/>
    <m/>
    <m/>
    <m/>
    <m/>
    <m/>
    <m/>
    <m/>
    <m/>
  </r>
  <r>
    <x v="94"/>
    <x v="6"/>
    <x v="7"/>
    <n v="10370"/>
    <s v="Female"/>
    <n v="19"/>
    <x v="0"/>
    <s v="Deira"/>
    <n v="11"/>
    <n v="8.0500000000000007"/>
    <x v="1"/>
    <x v="1"/>
    <n v="7.2"/>
    <x v="0"/>
    <m/>
    <m/>
    <m/>
    <m/>
    <m/>
    <m/>
    <m/>
    <m/>
  </r>
  <r>
    <x v="95"/>
    <x v="0"/>
    <x v="78"/>
    <n v="10006"/>
    <s v="Female"/>
    <n v="45"/>
    <x v="4"/>
    <s v="Deira"/>
    <n v="53"/>
    <n v="1.82"/>
    <x v="0"/>
    <x v="0"/>
    <n v="13.6"/>
    <x v="1"/>
    <m/>
    <m/>
    <m/>
    <m/>
    <m/>
    <m/>
    <m/>
    <m/>
  </r>
  <r>
    <x v="96"/>
    <x v="1"/>
    <x v="79"/>
    <n v="10122"/>
    <s v="Female"/>
    <n v="34"/>
    <x v="0"/>
    <s v="Karama"/>
    <n v="45"/>
    <n v="8.67"/>
    <x v="1"/>
    <x v="0"/>
    <n v="14"/>
    <x v="2"/>
    <m/>
    <m/>
    <m/>
    <m/>
    <m/>
    <m/>
    <m/>
    <m/>
  </r>
  <r>
    <x v="97"/>
    <x v="0"/>
    <x v="80"/>
    <n v="10344"/>
    <s v="Male"/>
    <n v="25"/>
    <x v="9"/>
    <s v="Dubai Marina"/>
    <n v="45"/>
    <n v="11.88"/>
    <x v="0"/>
    <x v="2"/>
    <n v="12"/>
    <x v="1"/>
    <m/>
    <m/>
    <m/>
    <m/>
    <m/>
    <m/>
    <m/>
    <m/>
  </r>
  <r>
    <x v="98"/>
    <x v="0"/>
    <x v="81"/>
    <n v="10276"/>
    <s v="Female"/>
    <n v="39"/>
    <x v="4"/>
    <s v="Palm Jumeirah"/>
    <n v="51"/>
    <n v="7.19"/>
    <x v="0"/>
    <x v="0"/>
    <n v="13.2"/>
    <x v="1"/>
    <m/>
    <m/>
    <m/>
    <m/>
    <m/>
    <m/>
    <m/>
    <m/>
  </r>
  <r>
    <x v="99"/>
    <x v="6"/>
    <x v="82"/>
    <n v="10286"/>
    <s v="Female"/>
    <n v="20"/>
    <x v="6"/>
    <s v="Karama"/>
    <n v="40"/>
    <n v="5.95"/>
    <x v="1"/>
    <x v="0"/>
    <n v="13"/>
    <x v="0"/>
    <m/>
    <m/>
    <m/>
    <m/>
    <m/>
    <m/>
    <m/>
    <m/>
  </r>
  <r>
    <x v="100"/>
    <x v="0"/>
    <x v="83"/>
    <n v="10280"/>
    <s v="Female"/>
    <n v="43"/>
    <x v="9"/>
    <s v="Karama"/>
    <n v="39"/>
    <n v="12.03"/>
    <x v="0"/>
    <x v="0"/>
    <n v="10.8"/>
    <x v="0"/>
    <m/>
    <m/>
    <m/>
    <m/>
    <m/>
    <m/>
    <m/>
    <m/>
  </r>
  <r>
    <x v="101"/>
    <x v="7"/>
    <x v="84"/>
    <n v="10320"/>
    <s v="Male"/>
    <n v="23"/>
    <x v="5"/>
    <s v="Karama"/>
    <n v="46"/>
    <n v="8.17"/>
    <x v="0"/>
    <x v="0"/>
    <n v="12.2"/>
    <x v="3"/>
    <m/>
    <m/>
    <m/>
    <m/>
    <m/>
    <m/>
    <m/>
    <m/>
  </r>
  <r>
    <x v="102"/>
    <x v="9"/>
    <x v="85"/>
    <n v="10090"/>
    <s v="Female"/>
    <n v="38"/>
    <x v="3"/>
    <s v="Deira"/>
    <n v="19"/>
    <n v="7.53"/>
    <x v="1"/>
    <x v="0"/>
    <n v="8.8000000000000007"/>
    <x v="2"/>
    <m/>
    <m/>
    <m/>
    <m/>
    <m/>
    <m/>
    <m/>
    <m/>
  </r>
  <r>
    <x v="103"/>
    <x v="0"/>
    <x v="86"/>
    <n v="10458"/>
    <s v="Male"/>
    <n v="34"/>
    <x v="1"/>
    <s v="Bur Dubai"/>
    <n v="38"/>
    <n v="12.9"/>
    <x v="1"/>
    <x v="0"/>
    <n v="12.6"/>
    <x v="2"/>
    <m/>
    <m/>
    <m/>
    <m/>
    <m/>
    <m/>
    <m/>
    <m/>
  </r>
  <r>
    <x v="104"/>
    <x v="9"/>
    <x v="87"/>
    <n v="10014"/>
    <s v="Female"/>
    <n v="47"/>
    <x v="1"/>
    <s v="Jumeirah"/>
    <n v="52"/>
    <n v="8.51"/>
    <x v="1"/>
    <x v="1"/>
    <n v="15.4"/>
    <x v="2"/>
    <m/>
    <m/>
    <m/>
    <m/>
    <m/>
    <m/>
    <m/>
    <m/>
  </r>
  <r>
    <x v="105"/>
    <x v="10"/>
    <x v="88"/>
    <n v="10030"/>
    <s v="Male"/>
    <n v="19"/>
    <x v="5"/>
    <s v="Deira"/>
    <n v="25"/>
    <n v="7.18"/>
    <x v="0"/>
    <x v="1"/>
    <n v="8"/>
    <x v="1"/>
    <m/>
    <m/>
    <m/>
    <m/>
    <m/>
    <m/>
    <m/>
    <m/>
  </r>
  <r>
    <x v="106"/>
    <x v="8"/>
    <x v="89"/>
    <n v="10412"/>
    <s v="Male"/>
    <n v="22"/>
    <x v="11"/>
    <s v="City Walk"/>
    <n v="25"/>
    <n v="10.99"/>
    <x v="1"/>
    <x v="0"/>
    <n v="10"/>
    <x v="0"/>
    <m/>
    <m/>
    <m/>
    <m/>
    <m/>
    <m/>
    <m/>
    <m/>
  </r>
  <r>
    <x v="107"/>
    <x v="7"/>
    <x v="90"/>
    <n v="10168"/>
    <s v="Male"/>
    <n v="36"/>
    <x v="10"/>
    <s v="Palm Jumeirah"/>
    <n v="21"/>
    <n v="3.84"/>
    <x v="0"/>
    <x v="0"/>
    <n v="7.2"/>
    <x v="0"/>
    <m/>
    <m/>
    <m/>
    <m/>
    <m/>
    <m/>
    <m/>
    <m/>
  </r>
  <r>
    <x v="108"/>
    <x v="5"/>
    <x v="91"/>
    <n v="10361"/>
    <s v="Female"/>
    <n v="48"/>
    <x v="5"/>
    <s v="Karama"/>
    <n v="35"/>
    <n v="14.1"/>
    <x v="0"/>
    <x v="1"/>
    <n v="10"/>
    <x v="2"/>
    <m/>
    <m/>
    <m/>
    <m/>
    <m/>
    <m/>
    <m/>
    <m/>
  </r>
  <r>
    <x v="109"/>
    <x v="7"/>
    <x v="84"/>
    <n v="10002"/>
    <s v="Male"/>
    <n v="38"/>
    <x v="11"/>
    <s v="Downtown Dubai"/>
    <n v="43"/>
    <n v="11.05"/>
    <x v="0"/>
    <x v="0"/>
    <n v="11.6"/>
    <x v="1"/>
    <m/>
    <m/>
    <m/>
    <m/>
    <m/>
    <m/>
    <m/>
    <m/>
  </r>
  <r>
    <x v="110"/>
    <x v="4"/>
    <x v="92"/>
    <n v="10212"/>
    <s v="Female"/>
    <n v="53"/>
    <x v="7"/>
    <s v="Palm Jumeirah"/>
    <n v="35"/>
    <n v="8.3000000000000007"/>
    <x v="1"/>
    <x v="2"/>
    <n v="12"/>
    <x v="2"/>
    <m/>
    <m/>
    <m/>
    <m/>
    <m/>
    <m/>
    <m/>
    <m/>
  </r>
  <r>
    <x v="111"/>
    <x v="3"/>
    <x v="55"/>
    <n v="10355"/>
    <s v="Female"/>
    <n v="25"/>
    <x v="5"/>
    <s v="Jumeirah"/>
    <n v="23"/>
    <n v="3.85"/>
    <x v="1"/>
    <x v="0"/>
    <n v="9.6"/>
    <x v="2"/>
    <m/>
    <m/>
    <m/>
    <m/>
    <m/>
    <m/>
    <m/>
    <m/>
  </r>
  <r>
    <x v="112"/>
    <x v="3"/>
    <x v="93"/>
    <n v="10143"/>
    <s v="Female"/>
    <n v="34"/>
    <x v="10"/>
    <s v="Silicon Oasis"/>
    <n v="27"/>
    <n v="9.9499999999999993"/>
    <x v="1"/>
    <x v="0"/>
    <n v="10.4"/>
    <x v="0"/>
    <m/>
    <m/>
    <m/>
    <m/>
    <m/>
    <m/>
    <m/>
    <m/>
  </r>
  <r>
    <x v="113"/>
    <x v="7"/>
    <x v="94"/>
    <n v="10430"/>
    <s v="Female"/>
    <n v="29"/>
    <x v="6"/>
    <s v="City Walk"/>
    <n v="32"/>
    <n v="2.27"/>
    <x v="1"/>
    <x v="1"/>
    <n v="11.4"/>
    <x v="3"/>
    <m/>
    <m/>
    <m/>
    <m/>
    <m/>
    <m/>
    <m/>
    <m/>
  </r>
  <r>
    <x v="114"/>
    <x v="0"/>
    <x v="86"/>
    <n v="10266"/>
    <s v="Male"/>
    <n v="19"/>
    <x v="3"/>
    <s v="Bur Dubai"/>
    <n v="31"/>
    <n v="13.85"/>
    <x v="1"/>
    <x v="2"/>
    <n v="11.2"/>
    <x v="1"/>
    <m/>
    <m/>
    <m/>
    <m/>
    <m/>
    <m/>
    <m/>
    <m/>
  </r>
  <r>
    <x v="115"/>
    <x v="11"/>
    <x v="95"/>
    <n v="10290"/>
    <s v="Female"/>
    <n v="22"/>
    <x v="3"/>
    <s v="Jumeirah"/>
    <n v="29"/>
    <n v="11.79"/>
    <x v="0"/>
    <x v="2"/>
    <n v="8.8000000000000007"/>
    <x v="3"/>
    <m/>
    <m/>
    <m/>
    <m/>
    <m/>
    <m/>
    <m/>
    <m/>
  </r>
  <r>
    <x v="116"/>
    <x v="8"/>
    <x v="56"/>
    <n v="10230"/>
    <s v="Male"/>
    <n v="34"/>
    <x v="6"/>
    <s v="Deira"/>
    <n v="45"/>
    <n v="3.95"/>
    <x v="1"/>
    <x v="0"/>
    <n v="14"/>
    <x v="1"/>
    <m/>
    <m/>
    <m/>
    <m/>
    <m/>
    <m/>
    <m/>
    <m/>
  </r>
  <r>
    <x v="117"/>
    <x v="0"/>
    <x v="52"/>
    <n v="10446"/>
    <s v="Male"/>
    <n v="45"/>
    <x v="4"/>
    <s v="Dubai Marina"/>
    <n v="58"/>
    <n v="5.54"/>
    <x v="0"/>
    <x v="0"/>
    <n v="14.6"/>
    <x v="1"/>
    <m/>
    <m/>
    <m/>
    <m/>
    <m/>
    <m/>
    <m/>
    <m/>
  </r>
  <r>
    <x v="118"/>
    <x v="6"/>
    <x v="96"/>
    <n v="10417"/>
    <s v="Female"/>
    <n v="53"/>
    <x v="8"/>
    <s v="City Walk"/>
    <n v="51"/>
    <n v="11.51"/>
    <x v="0"/>
    <x v="2"/>
    <n v="13.2"/>
    <x v="1"/>
    <m/>
    <m/>
    <m/>
    <m/>
    <m/>
    <m/>
    <m/>
    <m/>
  </r>
  <r>
    <x v="119"/>
    <x v="10"/>
    <x v="97"/>
    <n v="10309"/>
    <s v="Male"/>
    <n v="41"/>
    <x v="10"/>
    <s v="Downtown Dubai"/>
    <n v="13"/>
    <n v="11.24"/>
    <x v="0"/>
    <x v="1"/>
    <n v="5.6"/>
    <x v="1"/>
    <m/>
    <m/>
    <m/>
    <m/>
    <m/>
    <m/>
    <m/>
    <m/>
  </r>
  <r>
    <x v="120"/>
    <x v="6"/>
    <x v="98"/>
    <n v="10200"/>
    <s v="Female"/>
    <n v="26"/>
    <x v="1"/>
    <s v="JLT"/>
    <n v="27"/>
    <n v="2.2799999999999998"/>
    <x v="0"/>
    <x v="1"/>
    <n v="8.4"/>
    <x v="2"/>
    <m/>
    <m/>
    <m/>
    <m/>
    <m/>
    <m/>
    <m/>
    <m/>
  </r>
  <r>
    <x v="121"/>
    <x v="1"/>
    <x v="99"/>
    <n v="10050"/>
    <s v="Male"/>
    <n v="40"/>
    <x v="4"/>
    <s v="Downtown Dubai"/>
    <n v="7"/>
    <n v="6.23"/>
    <x v="1"/>
    <x v="2"/>
    <n v="6.4"/>
    <x v="3"/>
    <m/>
    <m/>
    <m/>
    <m/>
    <m/>
    <m/>
    <m/>
    <m/>
  </r>
  <r>
    <x v="122"/>
    <x v="7"/>
    <x v="100"/>
    <n v="10108"/>
    <s v="Female"/>
    <n v="54"/>
    <x v="6"/>
    <s v="Dubai Marina"/>
    <n v="21"/>
    <n v="2.86"/>
    <x v="0"/>
    <x v="2"/>
    <n v="7.2"/>
    <x v="3"/>
    <m/>
    <m/>
    <m/>
    <m/>
    <m/>
    <m/>
    <m/>
    <m/>
  </r>
  <r>
    <x v="123"/>
    <x v="1"/>
    <x v="79"/>
    <n v="10013"/>
    <s v="Male"/>
    <n v="25"/>
    <x v="8"/>
    <s v="Dubai Marina"/>
    <n v="49"/>
    <n v="12.12"/>
    <x v="0"/>
    <x v="0"/>
    <n v="12.8"/>
    <x v="0"/>
    <m/>
    <m/>
    <m/>
    <m/>
    <m/>
    <m/>
    <m/>
    <m/>
  </r>
  <r>
    <x v="124"/>
    <x v="4"/>
    <x v="101"/>
    <n v="10363"/>
    <s v="Male"/>
    <n v="24"/>
    <x v="8"/>
    <s v="Deira"/>
    <n v="22"/>
    <n v="3.01"/>
    <x v="1"/>
    <x v="0"/>
    <n v="9.4"/>
    <x v="3"/>
    <m/>
    <m/>
    <m/>
    <m/>
    <m/>
    <m/>
    <m/>
    <m/>
  </r>
  <r>
    <x v="125"/>
    <x v="1"/>
    <x v="102"/>
    <n v="10022"/>
    <s v="Male"/>
    <n v="49"/>
    <x v="4"/>
    <s v="Dubai Marina"/>
    <n v="59"/>
    <n v="1.07"/>
    <x v="1"/>
    <x v="0"/>
    <n v="16.8"/>
    <x v="0"/>
    <m/>
    <m/>
    <m/>
    <m/>
    <m/>
    <m/>
    <m/>
    <m/>
  </r>
  <r>
    <x v="126"/>
    <x v="2"/>
    <x v="21"/>
    <n v="10403"/>
    <s v="Female"/>
    <n v="34"/>
    <x v="11"/>
    <s v="Palm Jumeirah"/>
    <n v="28"/>
    <n v="14.23"/>
    <x v="0"/>
    <x v="2"/>
    <n v="8.6"/>
    <x v="1"/>
    <m/>
    <m/>
    <m/>
    <m/>
    <m/>
    <m/>
    <m/>
    <m/>
  </r>
  <r>
    <x v="127"/>
    <x v="6"/>
    <x v="7"/>
    <n v="10207"/>
    <s v="Female"/>
    <n v="48"/>
    <x v="8"/>
    <s v="JLT"/>
    <n v="28"/>
    <n v="6.47"/>
    <x v="0"/>
    <x v="2"/>
    <n v="8.6"/>
    <x v="2"/>
    <m/>
    <m/>
    <m/>
    <m/>
    <m/>
    <m/>
    <m/>
    <m/>
  </r>
  <r>
    <x v="128"/>
    <x v="8"/>
    <x v="56"/>
    <n v="10297"/>
    <s v="Male"/>
    <n v="48"/>
    <x v="7"/>
    <s v="City Walk"/>
    <n v="5"/>
    <n v="6.52"/>
    <x v="0"/>
    <x v="0"/>
    <n v="4"/>
    <x v="2"/>
    <m/>
    <m/>
    <m/>
    <m/>
    <m/>
    <m/>
    <m/>
    <m/>
  </r>
  <r>
    <x v="129"/>
    <x v="10"/>
    <x v="103"/>
    <n v="10023"/>
    <s v="Male"/>
    <n v="33"/>
    <x v="7"/>
    <s v="Bur Dubai"/>
    <n v="39"/>
    <n v="5.45"/>
    <x v="0"/>
    <x v="1"/>
    <n v="10.8"/>
    <x v="0"/>
    <m/>
    <m/>
    <m/>
    <m/>
    <m/>
    <m/>
    <m/>
    <m/>
  </r>
  <r>
    <x v="130"/>
    <x v="9"/>
    <x v="104"/>
    <n v="10463"/>
    <s v="Male"/>
    <n v="31"/>
    <x v="9"/>
    <s v="Dubai Marina"/>
    <n v="9"/>
    <n v="1.01"/>
    <x v="0"/>
    <x v="2"/>
    <n v="4.8"/>
    <x v="2"/>
    <m/>
    <m/>
    <m/>
    <m/>
    <m/>
    <m/>
    <m/>
    <m/>
  </r>
  <r>
    <x v="131"/>
    <x v="8"/>
    <x v="105"/>
    <n v="10244"/>
    <s v="Female"/>
    <n v="35"/>
    <x v="10"/>
    <s v="City Walk"/>
    <n v="6"/>
    <n v="14.69"/>
    <x v="1"/>
    <x v="2"/>
    <n v="6.2"/>
    <x v="2"/>
    <m/>
    <m/>
    <m/>
    <m/>
    <m/>
    <m/>
    <m/>
    <m/>
  </r>
  <r>
    <x v="132"/>
    <x v="8"/>
    <x v="106"/>
    <n v="10198"/>
    <s v="Female"/>
    <n v="20"/>
    <x v="10"/>
    <s v="Dubai Marina"/>
    <n v="25"/>
    <n v="3.5"/>
    <x v="0"/>
    <x v="2"/>
    <n v="8"/>
    <x v="2"/>
    <m/>
    <m/>
    <m/>
    <m/>
    <m/>
    <m/>
    <m/>
    <m/>
  </r>
  <r>
    <x v="133"/>
    <x v="3"/>
    <x v="107"/>
    <n v="10041"/>
    <s v="Male"/>
    <n v="22"/>
    <x v="8"/>
    <s v="Al Barsha"/>
    <n v="32"/>
    <n v="11.78"/>
    <x v="1"/>
    <x v="1"/>
    <n v="11.4"/>
    <x v="0"/>
    <m/>
    <m/>
    <m/>
    <m/>
    <m/>
    <m/>
    <m/>
    <m/>
  </r>
  <r>
    <x v="134"/>
    <x v="1"/>
    <x v="108"/>
    <n v="10145"/>
    <s v="Male"/>
    <n v="20"/>
    <x v="3"/>
    <s v="Silicon Oasis"/>
    <n v="24"/>
    <n v="9.59"/>
    <x v="0"/>
    <x v="2"/>
    <n v="7.8"/>
    <x v="0"/>
    <m/>
    <m/>
    <m/>
    <m/>
    <m/>
    <m/>
    <m/>
    <m/>
  </r>
  <r>
    <x v="135"/>
    <x v="0"/>
    <x v="43"/>
    <n v="10377"/>
    <s v="Male"/>
    <n v="25"/>
    <x v="5"/>
    <s v="Silicon Oasis"/>
    <n v="7"/>
    <n v="3.39"/>
    <x v="1"/>
    <x v="0"/>
    <n v="6.4"/>
    <x v="2"/>
    <m/>
    <m/>
    <m/>
    <m/>
    <m/>
    <m/>
    <m/>
    <m/>
  </r>
  <r>
    <x v="136"/>
    <x v="5"/>
    <x v="35"/>
    <n v="10274"/>
    <s v="Male"/>
    <n v="40"/>
    <x v="7"/>
    <s v="Al Barsha"/>
    <n v="10"/>
    <n v="2.68"/>
    <x v="0"/>
    <x v="2"/>
    <n v="5"/>
    <x v="0"/>
    <m/>
    <m/>
    <m/>
    <m/>
    <m/>
    <m/>
    <m/>
    <m/>
  </r>
  <r>
    <x v="137"/>
    <x v="7"/>
    <x v="94"/>
    <n v="10380"/>
    <s v="Male"/>
    <n v="53"/>
    <x v="6"/>
    <s v="City Walk"/>
    <n v="52"/>
    <n v="10.1"/>
    <x v="0"/>
    <x v="2"/>
    <n v="13.4"/>
    <x v="2"/>
    <m/>
    <m/>
    <m/>
    <m/>
    <m/>
    <m/>
    <m/>
    <m/>
  </r>
  <r>
    <x v="138"/>
    <x v="10"/>
    <x v="109"/>
    <n v="10354"/>
    <s v="Female"/>
    <n v="22"/>
    <x v="7"/>
    <s v="Dubai Marina"/>
    <n v="32"/>
    <n v="14.4"/>
    <x v="1"/>
    <x v="1"/>
    <n v="11.4"/>
    <x v="0"/>
    <m/>
    <m/>
    <m/>
    <m/>
    <m/>
    <m/>
    <m/>
    <m/>
  </r>
  <r>
    <x v="139"/>
    <x v="2"/>
    <x v="53"/>
    <n v="10263"/>
    <s v="Male"/>
    <n v="41"/>
    <x v="5"/>
    <s v="Karama"/>
    <n v="12"/>
    <n v="4.45"/>
    <x v="0"/>
    <x v="0"/>
    <n v="5.4"/>
    <x v="0"/>
    <m/>
    <m/>
    <m/>
    <m/>
    <m/>
    <m/>
    <m/>
    <m/>
  </r>
  <r>
    <x v="140"/>
    <x v="11"/>
    <x v="69"/>
    <n v="10224"/>
    <s v="Female"/>
    <n v="29"/>
    <x v="8"/>
    <s v="JLT"/>
    <n v="54"/>
    <n v="1.31"/>
    <x v="1"/>
    <x v="2"/>
    <n v="15.8"/>
    <x v="1"/>
    <m/>
    <m/>
    <m/>
    <m/>
    <m/>
    <m/>
    <m/>
    <m/>
  </r>
  <r>
    <x v="141"/>
    <x v="1"/>
    <x v="1"/>
    <n v="10235"/>
    <s v="Female"/>
    <n v="34"/>
    <x v="3"/>
    <s v="Karama"/>
    <n v="48"/>
    <n v="4.21"/>
    <x v="1"/>
    <x v="0"/>
    <n v="14.6"/>
    <x v="0"/>
    <m/>
    <m/>
    <m/>
    <m/>
    <m/>
    <m/>
    <m/>
    <m/>
  </r>
  <r>
    <x v="142"/>
    <x v="6"/>
    <x v="110"/>
    <n v="10277"/>
    <s v="Male"/>
    <n v="27"/>
    <x v="9"/>
    <s v="Bur Dubai"/>
    <n v="33"/>
    <n v="14.2"/>
    <x v="1"/>
    <x v="2"/>
    <n v="11.6"/>
    <x v="3"/>
    <m/>
    <m/>
    <m/>
    <m/>
    <m/>
    <m/>
    <m/>
    <m/>
  </r>
  <r>
    <x v="143"/>
    <x v="8"/>
    <x v="111"/>
    <n v="10163"/>
    <s v="Female"/>
    <n v="28"/>
    <x v="9"/>
    <s v="City Walk"/>
    <n v="10"/>
    <n v="6.83"/>
    <x v="1"/>
    <x v="2"/>
    <n v="7"/>
    <x v="1"/>
    <m/>
    <m/>
    <m/>
    <m/>
    <m/>
    <m/>
    <m/>
    <m/>
  </r>
  <r>
    <x v="144"/>
    <x v="11"/>
    <x v="112"/>
    <n v="10421"/>
    <s v="Female"/>
    <n v="52"/>
    <x v="10"/>
    <s v="Silicon Oasis"/>
    <n v="34"/>
    <n v="2.72"/>
    <x v="0"/>
    <x v="2"/>
    <n v="9.8000000000000007"/>
    <x v="2"/>
    <m/>
    <m/>
    <m/>
    <m/>
    <m/>
    <m/>
    <m/>
    <m/>
  </r>
  <r>
    <x v="145"/>
    <x v="1"/>
    <x v="113"/>
    <n v="10294"/>
    <s v="Male"/>
    <n v="28"/>
    <x v="0"/>
    <s v="Al Barsha"/>
    <n v="57"/>
    <n v="6.95"/>
    <x v="1"/>
    <x v="2"/>
    <n v="16.399999999999999"/>
    <x v="3"/>
    <m/>
    <m/>
    <m/>
    <m/>
    <m/>
    <m/>
    <m/>
    <m/>
  </r>
  <r>
    <x v="146"/>
    <x v="5"/>
    <x v="114"/>
    <n v="10298"/>
    <s v="Male"/>
    <n v="30"/>
    <x v="0"/>
    <s v="Dubai Marina"/>
    <n v="59"/>
    <n v="8.08"/>
    <x v="0"/>
    <x v="2"/>
    <n v="14.8"/>
    <x v="2"/>
    <m/>
    <m/>
    <m/>
    <m/>
    <m/>
    <m/>
    <m/>
    <m/>
  </r>
  <r>
    <x v="147"/>
    <x v="4"/>
    <x v="48"/>
    <n v="10154"/>
    <s v="Male"/>
    <n v="38"/>
    <x v="11"/>
    <s v="Silicon Oasis"/>
    <n v="60"/>
    <n v="2.17"/>
    <x v="0"/>
    <x v="1"/>
    <n v="15"/>
    <x v="1"/>
    <m/>
    <m/>
    <m/>
    <m/>
    <m/>
    <m/>
    <m/>
    <m/>
  </r>
  <r>
    <x v="148"/>
    <x v="3"/>
    <x v="115"/>
    <n v="10106"/>
    <s v="Male"/>
    <n v="19"/>
    <x v="5"/>
    <s v="Business Bay"/>
    <n v="34"/>
    <n v="6.93"/>
    <x v="0"/>
    <x v="0"/>
    <n v="9.8000000000000007"/>
    <x v="3"/>
    <m/>
    <m/>
    <m/>
    <m/>
    <m/>
    <m/>
    <m/>
    <m/>
  </r>
  <r>
    <x v="149"/>
    <x v="10"/>
    <x v="116"/>
    <n v="10034"/>
    <s v="Female"/>
    <n v="19"/>
    <x v="6"/>
    <s v="Deira"/>
    <n v="40"/>
    <n v="5.82"/>
    <x v="0"/>
    <x v="2"/>
    <n v="11"/>
    <x v="3"/>
    <m/>
    <m/>
    <m/>
    <m/>
    <m/>
    <m/>
    <m/>
    <m/>
  </r>
  <r>
    <x v="150"/>
    <x v="5"/>
    <x v="117"/>
    <n v="10236"/>
    <s v="Male"/>
    <n v="39"/>
    <x v="4"/>
    <s v="Jumeirah"/>
    <n v="40"/>
    <n v="8.33"/>
    <x v="0"/>
    <x v="1"/>
    <n v="11"/>
    <x v="2"/>
    <m/>
    <m/>
    <m/>
    <m/>
    <m/>
    <m/>
    <m/>
    <m/>
  </r>
  <r>
    <x v="151"/>
    <x v="0"/>
    <x v="118"/>
    <n v="10392"/>
    <s v="Female"/>
    <n v="46"/>
    <x v="5"/>
    <s v="JLT"/>
    <n v="19"/>
    <n v="10.84"/>
    <x v="0"/>
    <x v="2"/>
    <n v="6.8"/>
    <x v="0"/>
    <m/>
    <m/>
    <m/>
    <m/>
    <m/>
    <m/>
    <m/>
    <m/>
  </r>
  <r>
    <x v="152"/>
    <x v="1"/>
    <x v="113"/>
    <n v="10087"/>
    <s v="Male"/>
    <n v="23"/>
    <x v="6"/>
    <s v="Al Barsha"/>
    <n v="60"/>
    <n v="1.79"/>
    <x v="1"/>
    <x v="1"/>
    <n v="17"/>
    <x v="3"/>
    <m/>
    <m/>
    <m/>
    <m/>
    <m/>
    <m/>
    <m/>
    <m/>
  </r>
  <r>
    <x v="153"/>
    <x v="7"/>
    <x v="84"/>
    <n v="10218"/>
    <s v="Female"/>
    <n v="41"/>
    <x v="10"/>
    <s v="Karama"/>
    <n v="47"/>
    <n v="11.19"/>
    <x v="0"/>
    <x v="2"/>
    <n v="12.4"/>
    <x v="3"/>
    <m/>
    <m/>
    <m/>
    <m/>
    <m/>
    <m/>
    <m/>
    <m/>
  </r>
  <r>
    <x v="154"/>
    <x v="2"/>
    <x v="119"/>
    <n v="10372"/>
    <s v="Male"/>
    <n v="18"/>
    <x v="4"/>
    <s v="Deira"/>
    <n v="16"/>
    <n v="7.22"/>
    <x v="0"/>
    <x v="1"/>
    <n v="6.2"/>
    <x v="2"/>
    <m/>
    <m/>
    <m/>
    <m/>
    <m/>
    <m/>
    <m/>
    <m/>
  </r>
  <r>
    <x v="155"/>
    <x v="5"/>
    <x v="120"/>
    <n v="10162"/>
    <s v="Female"/>
    <n v="40"/>
    <x v="6"/>
    <s v="Jumeirah"/>
    <n v="9"/>
    <n v="14.64"/>
    <x v="0"/>
    <x v="0"/>
    <n v="4.8"/>
    <x v="3"/>
    <m/>
    <m/>
    <m/>
    <m/>
    <m/>
    <m/>
    <m/>
    <m/>
  </r>
  <r>
    <x v="156"/>
    <x v="11"/>
    <x v="121"/>
    <n v="10137"/>
    <s v="Male"/>
    <n v="31"/>
    <x v="9"/>
    <s v="Bur Dubai"/>
    <n v="53"/>
    <n v="14.61"/>
    <x v="0"/>
    <x v="1"/>
    <n v="13.6"/>
    <x v="1"/>
    <m/>
    <m/>
    <m/>
    <m/>
    <m/>
    <m/>
    <m/>
    <m/>
  </r>
  <r>
    <x v="157"/>
    <x v="8"/>
    <x v="122"/>
    <n v="10301"/>
    <s v="Female"/>
    <n v="47"/>
    <x v="7"/>
    <s v="JLT"/>
    <n v="11"/>
    <n v="9.0500000000000007"/>
    <x v="1"/>
    <x v="0"/>
    <n v="7.2"/>
    <x v="3"/>
    <m/>
    <m/>
    <m/>
    <m/>
    <m/>
    <m/>
    <m/>
    <m/>
  </r>
  <r>
    <x v="158"/>
    <x v="7"/>
    <x v="123"/>
    <n v="10374"/>
    <s v="Male"/>
    <n v="48"/>
    <x v="0"/>
    <s v="Bur Dubai"/>
    <n v="52"/>
    <n v="11.94"/>
    <x v="0"/>
    <x v="0"/>
    <n v="13.4"/>
    <x v="2"/>
    <m/>
    <m/>
    <m/>
    <m/>
    <m/>
    <m/>
    <m/>
    <m/>
  </r>
  <r>
    <x v="159"/>
    <x v="3"/>
    <x v="124"/>
    <n v="10160"/>
    <s v="Female"/>
    <n v="43"/>
    <x v="9"/>
    <s v="Downtown Dubai"/>
    <n v="42"/>
    <n v="9.1199999999999992"/>
    <x v="1"/>
    <x v="0"/>
    <n v="13.4"/>
    <x v="1"/>
    <m/>
    <m/>
    <m/>
    <m/>
    <m/>
    <m/>
    <m/>
    <m/>
  </r>
  <r>
    <x v="160"/>
    <x v="11"/>
    <x v="121"/>
    <n v="10475"/>
    <s v="Female"/>
    <n v="20"/>
    <x v="6"/>
    <s v="Business Bay"/>
    <n v="43"/>
    <n v="5.76"/>
    <x v="0"/>
    <x v="2"/>
    <n v="11.6"/>
    <x v="3"/>
    <m/>
    <m/>
    <m/>
    <m/>
    <m/>
    <m/>
    <m/>
    <m/>
  </r>
  <r>
    <x v="161"/>
    <x v="3"/>
    <x v="125"/>
    <n v="10273"/>
    <s v="Male"/>
    <n v="32"/>
    <x v="1"/>
    <s v="Bur Dubai"/>
    <n v="49"/>
    <n v="2.5499999999999998"/>
    <x v="0"/>
    <x v="2"/>
    <n v="12.8"/>
    <x v="0"/>
    <m/>
    <m/>
    <m/>
    <m/>
    <m/>
    <m/>
    <m/>
    <m/>
  </r>
  <r>
    <x v="162"/>
    <x v="4"/>
    <x v="126"/>
    <n v="10318"/>
    <s v="Male"/>
    <n v="30"/>
    <x v="2"/>
    <s v="Karama"/>
    <n v="39"/>
    <n v="14.44"/>
    <x v="0"/>
    <x v="1"/>
    <n v="10.8"/>
    <x v="1"/>
    <m/>
    <m/>
    <m/>
    <m/>
    <m/>
    <m/>
    <m/>
    <m/>
  </r>
  <r>
    <x v="163"/>
    <x v="2"/>
    <x v="28"/>
    <n v="10150"/>
    <s v="Female"/>
    <n v="40"/>
    <x v="3"/>
    <s v="Downtown Dubai"/>
    <n v="11"/>
    <n v="6.88"/>
    <x v="1"/>
    <x v="2"/>
    <n v="7.2"/>
    <x v="0"/>
    <m/>
    <m/>
    <m/>
    <m/>
    <m/>
    <m/>
    <m/>
    <m/>
  </r>
  <r>
    <x v="164"/>
    <x v="0"/>
    <x v="83"/>
    <n v="10039"/>
    <s v="Male"/>
    <n v="19"/>
    <x v="0"/>
    <s v="Dubai Marina"/>
    <n v="50"/>
    <n v="6.47"/>
    <x v="1"/>
    <x v="0"/>
    <n v="15"/>
    <x v="1"/>
    <m/>
    <m/>
    <m/>
    <m/>
    <m/>
    <m/>
    <m/>
    <m/>
  </r>
  <r>
    <x v="165"/>
    <x v="2"/>
    <x v="127"/>
    <n v="10399"/>
    <s v="Male"/>
    <n v="39"/>
    <x v="0"/>
    <s v="Deira"/>
    <n v="31"/>
    <n v="11.66"/>
    <x v="1"/>
    <x v="2"/>
    <n v="11.2"/>
    <x v="0"/>
    <m/>
    <m/>
    <m/>
    <m/>
    <m/>
    <m/>
    <m/>
    <m/>
  </r>
  <r>
    <x v="166"/>
    <x v="7"/>
    <x v="100"/>
    <n v="10147"/>
    <s v="Female"/>
    <n v="40"/>
    <x v="4"/>
    <s v="Dubai Marina"/>
    <n v="46"/>
    <n v="14.65"/>
    <x v="1"/>
    <x v="0"/>
    <n v="14.2"/>
    <x v="0"/>
    <m/>
    <m/>
    <m/>
    <m/>
    <m/>
    <m/>
    <m/>
    <m/>
  </r>
  <r>
    <x v="167"/>
    <x v="8"/>
    <x v="128"/>
    <n v="10178"/>
    <s v="Female"/>
    <n v="52"/>
    <x v="3"/>
    <s v="Jumeirah"/>
    <n v="51"/>
    <n v="11.93"/>
    <x v="0"/>
    <x v="0"/>
    <n v="13.2"/>
    <x v="0"/>
    <m/>
    <m/>
    <m/>
    <m/>
    <m/>
    <m/>
    <m/>
    <m/>
  </r>
  <r>
    <x v="168"/>
    <x v="4"/>
    <x v="129"/>
    <n v="10325"/>
    <s v="Male"/>
    <n v="31"/>
    <x v="7"/>
    <s v="Karama"/>
    <n v="38"/>
    <n v="4.63"/>
    <x v="1"/>
    <x v="0"/>
    <n v="12.6"/>
    <x v="2"/>
    <m/>
    <m/>
    <m/>
    <m/>
    <m/>
    <m/>
    <m/>
    <m/>
  </r>
  <r>
    <x v="169"/>
    <x v="9"/>
    <x v="85"/>
    <n v="10439"/>
    <s v="Female"/>
    <n v="51"/>
    <x v="5"/>
    <s v="Downtown Dubai"/>
    <n v="22"/>
    <n v="7.03"/>
    <x v="0"/>
    <x v="2"/>
    <n v="7.4"/>
    <x v="1"/>
    <m/>
    <m/>
    <m/>
    <m/>
    <m/>
    <m/>
    <m/>
    <m/>
  </r>
  <r>
    <x v="170"/>
    <x v="3"/>
    <x v="25"/>
    <n v="10312"/>
    <s v="Female"/>
    <n v="45"/>
    <x v="10"/>
    <s v="Dubai Marina"/>
    <n v="55"/>
    <n v="8.81"/>
    <x v="1"/>
    <x v="0"/>
    <n v="16"/>
    <x v="3"/>
    <m/>
    <m/>
    <m/>
    <m/>
    <m/>
    <m/>
    <m/>
    <m/>
  </r>
  <r>
    <x v="171"/>
    <x v="0"/>
    <x v="43"/>
    <n v="10340"/>
    <s v="Male"/>
    <n v="40"/>
    <x v="1"/>
    <s v="Karama"/>
    <n v="59"/>
    <n v="12.12"/>
    <x v="0"/>
    <x v="2"/>
    <n v="14.8"/>
    <x v="2"/>
    <m/>
    <m/>
    <m/>
    <m/>
    <m/>
    <m/>
    <m/>
    <m/>
  </r>
  <r>
    <x v="172"/>
    <x v="7"/>
    <x v="130"/>
    <n v="10152"/>
    <s v="Male"/>
    <n v="43"/>
    <x v="8"/>
    <s v="Downtown Dubai"/>
    <n v="23"/>
    <n v="13.22"/>
    <x v="0"/>
    <x v="0"/>
    <n v="7.6"/>
    <x v="3"/>
    <m/>
    <m/>
    <m/>
    <m/>
    <m/>
    <m/>
    <m/>
    <m/>
  </r>
  <r>
    <x v="173"/>
    <x v="7"/>
    <x v="49"/>
    <n v="10376"/>
    <s v="Male"/>
    <n v="48"/>
    <x v="2"/>
    <s v="Karama"/>
    <n v="19"/>
    <n v="8.0500000000000007"/>
    <x v="1"/>
    <x v="2"/>
    <n v="8.8000000000000007"/>
    <x v="2"/>
    <m/>
    <m/>
    <m/>
    <m/>
    <m/>
    <m/>
    <m/>
    <m/>
  </r>
  <r>
    <x v="174"/>
    <x v="9"/>
    <x v="76"/>
    <n v="10315"/>
    <s v="Female"/>
    <n v="35"/>
    <x v="2"/>
    <s v="Dubai Marina"/>
    <n v="52"/>
    <n v="7.19"/>
    <x v="0"/>
    <x v="2"/>
    <n v="13.4"/>
    <x v="2"/>
    <m/>
    <m/>
    <m/>
    <m/>
    <m/>
    <m/>
    <m/>
    <m/>
  </r>
  <r>
    <x v="175"/>
    <x v="8"/>
    <x v="131"/>
    <n v="10319"/>
    <s v="Female"/>
    <n v="33"/>
    <x v="9"/>
    <s v="Deira"/>
    <n v="16"/>
    <n v="11.79"/>
    <x v="1"/>
    <x v="0"/>
    <n v="8.1999999999999993"/>
    <x v="2"/>
    <m/>
    <m/>
    <m/>
    <m/>
    <m/>
    <m/>
    <m/>
    <m/>
  </r>
  <r>
    <x v="176"/>
    <x v="9"/>
    <x v="132"/>
    <n v="10296"/>
    <s v="Female"/>
    <n v="54"/>
    <x v="10"/>
    <s v="Jumeirah"/>
    <n v="38"/>
    <n v="10.68"/>
    <x v="1"/>
    <x v="0"/>
    <n v="12.6"/>
    <x v="1"/>
    <m/>
    <m/>
    <m/>
    <m/>
    <m/>
    <m/>
    <m/>
    <m/>
  </r>
  <r>
    <x v="177"/>
    <x v="7"/>
    <x v="94"/>
    <n v="10305"/>
    <s v="Male"/>
    <n v="33"/>
    <x v="7"/>
    <s v="Bur Dubai"/>
    <n v="42"/>
    <n v="4.84"/>
    <x v="1"/>
    <x v="2"/>
    <n v="13.4"/>
    <x v="3"/>
    <m/>
    <m/>
    <m/>
    <m/>
    <m/>
    <m/>
    <m/>
    <m/>
  </r>
  <r>
    <x v="178"/>
    <x v="2"/>
    <x v="119"/>
    <n v="10415"/>
    <s v="Female"/>
    <n v="39"/>
    <x v="11"/>
    <s v="Silicon Oasis"/>
    <n v="28"/>
    <n v="8.69"/>
    <x v="0"/>
    <x v="1"/>
    <n v="8.6"/>
    <x v="0"/>
    <m/>
    <m/>
    <m/>
    <m/>
    <m/>
    <m/>
    <m/>
    <m/>
  </r>
  <r>
    <x v="179"/>
    <x v="6"/>
    <x v="42"/>
    <n v="10239"/>
    <s v="Female"/>
    <n v="23"/>
    <x v="8"/>
    <s v="Silicon Oasis"/>
    <n v="33"/>
    <n v="4.0599999999999996"/>
    <x v="1"/>
    <x v="2"/>
    <n v="11.6"/>
    <x v="2"/>
    <m/>
    <m/>
    <m/>
    <m/>
    <m/>
    <m/>
    <m/>
    <m/>
  </r>
  <r>
    <x v="180"/>
    <x v="10"/>
    <x v="46"/>
    <n v="10112"/>
    <s v="Male"/>
    <n v="48"/>
    <x v="11"/>
    <s v="Jumeirah"/>
    <n v="44"/>
    <n v="14.79"/>
    <x v="1"/>
    <x v="0"/>
    <n v="13.8"/>
    <x v="1"/>
    <m/>
    <m/>
    <m/>
    <m/>
    <m/>
    <m/>
    <m/>
    <m/>
  </r>
  <r>
    <x v="181"/>
    <x v="7"/>
    <x v="17"/>
    <n v="10003"/>
    <s v="Female"/>
    <n v="48"/>
    <x v="6"/>
    <s v="Downtown Dubai"/>
    <n v="42"/>
    <n v="13.24"/>
    <x v="0"/>
    <x v="2"/>
    <n v="11.4"/>
    <x v="0"/>
    <m/>
    <m/>
    <m/>
    <m/>
    <m/>
    <m/>
    <m/>
    <m/>
  </r>
  <r>
    <x v="182"/>
    <x v="4"/>
    <x v="133"/>
    <n v="10265"/>
    <s v="Female"/>
    <n v="47"/>
    <x v="6"/>
    <s v="Downtown Dubai"/>
    <n v="38"/>
    <n v="13.77"/>
    <x v="0"/>
    <x v="1"/>
    <n v="10.6"/>
    <x v="3"/>
    <m/>
    <m/>
    <m/>
    <m/>
    <m/>
    <m/>
    <m/>
    <m/>
  </r>
  <r>
    <x v="183"/>
    <x v="9"/>
    <x v="134"/>
    <n v="10330"/>
    <s v="Female"/>
    <n v="39"/>
    <x v="9"/>
    <s v="Dubai Marina"/>
    <n v="26"/>
    <n v="11.46"/>
    <x v="1"/>
    <x v="0"/>
    <n v="10.199999999999999"/>
    <x v="0"/>
    <m/>
    <m/>
    <m/>
    <m/>
    <m/>
    <m/>
    <m/>
    <m/>
  </r>
  <r>
    <x v="184"/>
    <x v="4"/>
    <x v="135"/>
    <n v="10275"/>
    <s v="Female"/>
    <n v="24"/>
    <x v="1"/>
    <s v="Bur Dubai"/>
    <n v="10"/>
    <n v="5.85"/>
    <x v="1"/>
    <x v="0"/>
    <n v="7"/>
    <x v="1"/>
    <m/>
    <m/>
    <m/>
    <m/>
    <m/>
    <m/>
    <m/>
    <m/>
  </r>
  <r>
    <x v="185"/>
    <x v="3"/>
    <x v="24"/>
    <n v="10208"/>
    <s v="Female"/>
    <n v="24"/>
    <x v="7"/>
    <s v="Downtown Dubai"/>
    <n v="6"/>
    <n v="9.61"/>
    <x v="0"/>
    <x v="1"/>
    <n v="4.2"/>
    <x v="3"/>
    <m/>
    <m/>
    <m/>
    <m/>
    <m/>
    <m/>
    <m/>
    <m/>
  </r>
  <r>
    <x v="186"/>
    <x v="6"/>
    <x v="136"/>
    <n v="10385"/>
    <s v="Female"/>
    <n v="35"/>
    <x v="4"/>
    <s v="Dubai Marina"/>
    <n v="53"/>
    <n v="14.87"/>
    <x v="0"/>
    <x v="2"/>
    <n v="13.6"/>
    <x v="0"/>
    <m/>
    <m/>
    <m/>
    <m/>
    <m/>
    <m/>
    <m/>
    <m/>
  </r>
  <r>
    <x v="187"/>
    <x v="4"/>
    <x v="137"/>
    <n v="10011"/>
    <s v="Male"/>
    <n v="38"/>
    <x v="2"/>
    <s v="Al Barsha"/>
    <n v="56"/>
    <n v="4.17"/>
    <x v="0"/>
    <x v="2"/>
    <n v="14.2"/>
    <x v="2"/>
    <m/>
    <m/>
    <m/>
    <m/>
    <m/>
    <m/>
    <m/>
    <m/>
  </r>
  <r>
    <x v="188"/>
    <x v="9"/>
    <x v="85"/>
    <n v="10434"/>
    <s v="Male"/>
    <n v="18"/>
    <x v="9"/>
    <s v="Deira"/>
    <n v="16"/>
    <n v="6.03"/>
    <x v="1"/>
    <x v="1"/>
    <n v="8.1999999999999993"/>
    <x v="3"/>
    <m/>
    <m/>
    <m/>
    <m/>
    <m/>
    <m/>
    <m/>
    <m/>
  </r>
  <r>
    <x v="189"/>
    <x v="10"/>
    <x v="138"/>
    <n v="10364"/>
    <s v="Male"/>
    <n v="53"/>
    <x v="8"/>
    <s v="Dubai Marina"/>
    <n v="42"/>
    <n v="14.76"/>
    <x v="0"/>
    <x v="2"/>
    <n v="11.4"/>
    <x v="3"/>
    <m/>
    <m/>
    <m/>
    <m/>
    <m/>
    <m/>
    <m/>
    <m/>
  </r>
  <r>
    <x v="190"/>
    <x v="1"/>
    <x v="108"/>
    <n v="10181"/>
    <s v="Male"/>
    <n v="19"/>
    <x v="3"/>
    <s v="JLT"/>
    <n v="10"/>
    <n v="7.71"/>
    <x v="1"/>
    <x v="2"/>
    <n v="7"/>
    <x v="0"/>
    <m/>
    <m/>
    <m/>
    <m/>
    <m/>
    <m/>
    <m/>
    <m/>
  </r>
  <r>
    <x v="191"/>
    <x v="8"/>
    <x v="139"/>
    <n v="10073"/>
    <s v="Female"/>
    <n v="35"/>
    <x v="3"/>
    <s v="Jumeirah"/>
    <n v="27"/>
    <n v="4.09"/>
    <x v="0"/>
    <x v="0"/>
    <n v="8.4"/>
    <x v="1"/>
    <m/>
    <m/>
    <m/>
    <m/>
    <m/>
    <m/>
    <m/>
    <m/>
  </r>
  <r>
    <x v="192"/>
    <x v="4"/>
    <x v="140"/>
    <n v="10285"/>
    <s v="Male"/>
    <n v="24"/>
    <x v="5"/>
    <s v="Deira"/>
    <n v="50"/>
    <n v="9.42"/>
    <x v="0"/>
    <x v="0"/>
    <n v="13"/>
    <x v="0"/>
    <m/>
    <m/>
    <m/>
    <m/>
    <m/>
    <m/>
    <m/>
    <m/>
  </r>
  <r>
    <x v="193"/>
    <x v="6"/>
    <x v="141"/>
    <n v="10346"/>
    <s v="Female"/>
    <n v="44"/>
    <x v="7"/>
    <s v="Downtown Dubai"/>
    <n v="23"/>
    <n v="5.59"/>
    <x v="0"/>
    <x v="0"/>
    <n v="7.6"/>
    <x v="3"/>
    <m/>
    <m/>
    <m/>
    <m/>
    <m/>
    <m/>
    <m/>
    <m/>
  </r>
  <r>
    <x v="194"/>
    <x v="3"/>
    <x v="142"/>
    <n v="10044"/>
    <s v="Female"/>
    <n v="26"/>
    <x v="5"/>
    <s v="Silicon Oasis"/>
    <n v="17"/>
    <n v="3.2"/>
    <x v="0"/>
    <x v="0"/>
    <n v="6.4"/>
    <x v="2"/>
    <m/>
    <m/>
    <m/>
    <m/>
    <m/>
    <m/>
    <m/>
    <m/>
  </r>
  <r>
    <x v="195"/>
    <x v="11"/>
    <x v="143"/>
    <n v="10468"/>
    <s v="Female"/>
    <n v="19"/>
    <x v="1"/>
    <s v="Dubai Marina"/>
    <n v="41"/>
    <n v="13.22"/>
    <x v="1"/>
    <x v="2"/>
    <n v="13.2"/>
    <x v="3"/>
    <m/>
    <m/>
    <m/>
    <m/>
    <m/>
    <m/>
    <m/>
    <m/>
  </r>
  <r>
    <x v="196"/>
    <x v="1"/>
    <x v="144"/>
    <n v="10467"/>
    <s v="Female"/>
    <n v="45"/>
    <x v="0"/>
    <s v="Dubai Marina"/>
    <n v="9"/>
    <n v="1.51"/>
    <x v="1"/>
    <x v="1"/>
    <n v="6.8"/>
    <x v="1"/>
    <m/>
    <m/>
    <m/>
    <m/>
    <m/>
    <m/>
    <m/>
    <m/>
  </r>
  <r>
    <x v="197"/>
    <x v="4"/>
    <x v="126"/>
    <n v="10362"/>
    <s v="Male"/>
    <n v="43"/>
    <x v="6"/>
    <s v="Deira"/>
    <n v="47"/>
    <n v="6.5"/>
    <x v="0"/>
    <x v="1"/>
    <n v="12.4"/>
    <x v="1"/>
    <m/>
    <m/>
    <m/>
    <m/>
    <m/>
    <m/>
    <m/>
    <m/>
  </r>
  <r>
    <x v="198"/>
    <x v="4"/>
    <x v="64"/>
    <n v="10479"/>
    <s v="Male"/>
    <n v="42"/>
    <x v="0"/>
    <s v="Deira"/>
    <n v="22"/>
    <n v="9.39"/>
    <x v="0"/>
    <x v="2"/>
    <n v="7.4"/>
    <x v="3"/>
    <m/>
    <m/>
    <m/>
    <m/>
    <m/>
    <m/>
    <m/>
    <m/>
  </r>
  <r>
    <x v="199"/>
    <x v="10"/>
    <x v="145"/>
    <n v="10343"/>
    <s v="Male"/>
    <n v="37"/>
    <x v="1"/>
    <s v="City Walk"/>
    <n v="56"/>
    <n v="3.86"/>
    <x v="0"/>
    <x v="2"/>
    <n v="14.2"/>
    <x v="2"/>
    <m/>
    <m/>
    <m/>
    <m/>
    <m/>
    <m/>
    <m/>
    <m/>
  </r>
  <r>
    <x v="200"/>
    <x v="5"/>
    <x v="146"/>
    <n v="10397"/>
    <s v="Male"/>
    <n v="47"/>
    <x v="1"/>
    <s v="Palm Jumeirah"/>
    <n v="45"/>
    <n v="6.53"/>
    <x v="1"/>
    <x v="2"/>
    <n v="14"/>
    <x v="3"/>
    <m/>
    <m/>
    <m/>
    <m/>
    <m/>
    <m/>
    <m/>
    <m/>
  </r>
  <r>
    <x v="201"/>
    <x v="2"/>
    <x v="147"/>
    <n v="10157"/>
    <s v="Female"/>
    <n v="47"/>
    <x v="11"/>
    <s v="Silicon Oasis"/>
    <n v="14"/>
    <n v="5.13"/>
    <x v="0"/>
    <x v="1"/>
    <n v="5.8"/>
    <x v="0"/>
    <m/>
    <m/>
    <m/>
    <m/>
    <m/>
    <m/>
    <m/>
    <m/>
  </r>
  <r>
    <x v="202"/>
    <x v="11"/>
    <x v="148"/>
    <n v="10161"/>
    <s v="Female"/>
    <n v="19"/>
    <x v="7"/>
    <s v="Palm Jumeirah"/>
    <n v="56"/>
    <n v="9.76"/>
    <x v="0"/>
    <x v="1"/>
    <n v="14.2"/>
    <x v="2"/>
    <m/>
    <m/>
    <m/>
    <m/>
    <m/>
    <m/>
    <m/>
    <m/>
  </r>
  <r>
    <x v="203"/>
    <x v="1"/>
    <x v="149"/>
    <n v="10498"/>
    <s v="Male"/>
    <n v="30"/>
    <x v="7"/>
    <s v="JLT"/>
    <n v="12"/>
    <n v="13.41"/>
    <x v="1"/>
    <x v="0"/>
    <n v="7.4"/>
    <x v="0"/>
    <m/>
    <m/>
    <m/>
    <m/>
    <m/>
    <m/>
    <m/>
    <m/>
  </r>
  <r>
    <x v="204"/>
    <x v="3"/>
    <x v="150"/>
    <n v="10125"/>
    <s v="Female"/>
    <n v="26"/>
    <x v="10"/>
    <s v="Palm Jumeirah"/>
    <n v="46"/>
    <n v="2.19"/>
    <x v="1"/>
    <x v="1"/>
    <n v="14.2"/>
    <x v="1"/>
    <m/>
    <m/>
    <m/>
    <m/>
    <m/>
    <m/>
    <m/>
    <m/>
  </r>
  <r>
    <x v="205"/>
    <x v="9"/>
    <x v="151"/>
    <n v="10474"/>
    <s v="Female"/>
    <n v="28"/>
    <x v="9"/>
    <s v="Silicon Oasis"/>
    <n v="26"/>
    <n v="14.04"/>
    <x v="0"/>
    <x v="1"/>
    <n v="8.1999999999999993"/>
    <x v="0"/>
    <m/>
    <m/>
    <m/>
    <m/>
    <m/>
    <m/>
    <m/>
    <m/>
  </r>
  <r>
    <x v="206"/>
    <x v="11"/>
    <x v="63"/>
    <n v="10075"/>
    <s v="Male"/>
    <n v="51"/>
    <x v="10"/>
    <s v="Dubai Marina"/>
    <n v="32"/>
    <n v="4.8499999999999996"/>
    <x v="0"/>
    <x v="0"/>
    <n v="9.4"/>
    <x v="0"/>
    <m/>
    <m/>
    <m/>
    <m/>
    <m/>
    <m/>
    <m/>
    <m/>
  </r>
  <r>
    <x v="207"/>
    <x v="0"/>
    <x v="152"/>
    <n v="10139"/>
    <s v="Female"/>
    <n v="25"/>
    <x v="3"/>
    <s v="Business Bay"/>
    <n v="17"/>
    <n v="10.53"/>
    <x v="1"/>
    <x v="0"/>
    <n v="8.4"/>
    <x v="3"/>
    <m/>
    <m/>
    <m/>
    <m/>
    <m/>
    <m/>
    <m/>
    <m/>
  </r>
  <r>
    <x v="208"/>
    <x v="9"/>
    <x v="153"/>
    <n v="10170"/>
    <s v="Female"/>
    <n v="55"/>
    <x v="8"/>
    <s v="Palm Jumeirah"/>
    <n v="16"/>
    <n v="6.11"/>
    <x v="1"/>
    <x v="2"/>
    <n v="8.1999999999999993"/>
    <x v="0"/>
    <m/>
    <m/>
    <m/>
    <m/>
    <m/>
    <m/>
    <m/>
    <m/>
  </r>
  <r>
    <x v="209"/>
    <x v="11"/>
    <x v="154"/>
    <n v="10405"/>
    <s v="Male"/>
    <n v="52"/>
    <x v="2"/>
    <s v="Downtown Dubai"/>
    <n v="12"/>
    <n v="12.33"/>
    <x v="0"/>
    <x v="0"/>
    <n v="5.4"/>
    <x v="0"/>
    <m/>
    <m/>
    <m/>
    <m/>
    <m/>
    <m/>
    <m/>
    <m/>
  </r>
  <r>
    <x v="210"/>
    <x v="10"/>
    <x v="46"/>
    <n v="10369"/>
    <s v="Female"/>
    <n v="35"/>
    <x v="10"/>
    <s v="JLT"/>
    <n v="6"/>
    <n v="6.91"/>
    <x v="1"/>
    <x v="1"/>
    <n v="6.2"/>
    <x v="1"/>
    <m/>
    <m/>
    <m/>
    <m/>
    <m/>
    <m/>
    <m/>
    <m/>
  </r>
  <r>
    <x v="211"/>
    <x v="2"/>
    <x v="28"/>
    <n v="10051"/>
    <s v="Male"/>
    <n v="54"/>
    <x v="2"/>
    <s v="City Walk"/>
    <n v="29"/>
    <n v="1.22"/>
    <x v="1"/>
    <x v="2"/>
    <n v="10.8"/>
    <x v="0"/>
    <m/>
    <m/>
    <m/>
    <m/>
    <m/>
    <m/>
    <m/>
    <m/>
  </r>
  <r>
    <x v="212"/>
    <x v="9"/>
    <x v="155"/>
    <n v="10349"/>
    <s v="Female"/>
    <n v="35"/>
    <x v="8"/>
    <s v="Palm Jumeirah"/>
    <n v="36"/>
    <n v="10.119999999999999"/>
    <x v="1"/>
    <x v="2"/>
    <n v="12.2"/>
    <x v="2"/>
    <m/>
    <m/>
    <m/>
    <m/>
    <m/>
    <m/>
    <m/>
    <m/>
  </r>
  <r>
    <x v="213"/>
    <x v="4"/>
    <x v="65"/>
    <n v="10056"/>
    <s v="Female"/>
    <n v="23"/>
    <x v="8"/>
    <s v="Al Barsha"/>
    <n v="29"/>
    <n v="12.38"/>
    <x v="0"/>
    <x v="0"/>
    <n v="8.8000000000000007"/>
    <x v="2"/>
    <m/>
    <m/>
    <m/>
    <m/>
    <m/>
    <m/>
    <m/>
    <m/>
  </r>
  <r>
    <x v="214"/>
    <x v="0"/>
    <x v="156"/>
    <n v="10210"/>
    <s v="Female"/>
    <n v="25"/>
    <x v="5"/>
    <s v="Deira"/>
    <n v="27"/>
    <n v="6.83"/>
    <x v="0"/>
    <x v="0"/>
    <n v="8.4"/>
    <x v="3"/>
    <m/>
    <m/>
    <m/>
    <m/>
    <m/>
    <m/>
    <m/>
    <m/>
  </r>
  <r>
    <x v="215"/>
    <x v="5"/>
    <x v="157"/>
    <n v="10424"/>
    <s v="Male"/>
    <n v="31"/>
    <x v="0"/>
    <s v="City Walk"/>
    <n v="47"/>
    <n v="2.48"/>
    <x v="1"/>
    <x v="0"/>
    <n v="14.4"/>
    <x v="2"/>
    <m/>
    <m/>
    <m/>
    <m/>
    <m/>
    <m/>
    <m/>
    <m/>
  </r>
  <r>
    <x v="216"/>
    <x v="4"/>
    <x v="23"/>
    <n v="10365"/>
    <s v="Female"/>
    <n v="42"/>
    <x v="1"/>
    <s v="Silicon Oasis"/>
    <n v="47"/>
    <n v="7.92"/>
    <x v="0"/>
    <x v="1"/>
    <n v="12.4"/>
    <x v="2"/>
    <m/>
    <m/>
    <m/>
    <m/>
    <m/>
    <m/>
    <m/>
    <m/>
  </r>
  <r>
    <x v="217"/>
    <x v="8"/>
    <x v="41"/>
    <n v="10302"/>
    <s v="Female"/>
    <n v="29"/>
    <x v="11"/>
    <s v="Karama"/>
    <n v="30"/>
    <n v="1.28"/>
    <x v="0"/>
    <x v="2"/>
    <n v="9"/>
    <x v="2"/>
    <m/>
    <m/>
    <m/>
    <m/>
    <m/>
    <m/>
    <m/>
    <m/>
  </r>
  <r>
    <x v="218"/>
    <x v="10"/>
    <x v="158"/>
    <n v="10091"/>
    <s v="Female"/>
    <n v="45"/>
    <x v="5"/>
    <s v="Bur Dubai"/>
    <n v="15"/>
    <n v="14.59"/>
    <x v="0"/>
    <x v="2"/>
    <n v="6"/>
    <x v="2"/>
    <m/>
    <m/>
    <m/>
    <m/>
    <m/>
    <m/>
    <m/>
    <m/>
  </r>
  <r>
    <x v="219"/>
    <x v="3"/>
    <x v="55"/>
    <n v="10180"/>
    <s v="Female"/>
    <n v="44"/>
    <x v="7"/>
    <s v="Downtown Dubai"/>
    <n v="15"/>
    <n v="6.22"/>
    <x v="0"/>
    <x v="1"/>
    <n v="6"/>
    <x v="2"/>
    <m/>
    <m/>
    <m/>
    <m/>
    <m/>
    <m/>
    <m/>
    <m/>
  </r>
  <r>
    <x v="220"/>
    <x v="8"/>
    <x v="159"/>
    <n v="10153"/>
    <s v="Male"/>
    <n v="24"/>
    <x v="0"/>
    <s v="Downtown Dubai"/>
    <n v="22"/>
    <n v="8.81"/>
    <x v="0"/>
    <x v="0"/>
    <n v="7.4"/>
    <x v="0"/>
    <m/>
    <m/>
    <m/>
    <m/>
    <m/>
    <m/>
    <m/>
    <m/>
  </r>
  <r>
    <x v="221"/>
    <x v="10"/>
    <x v="160"/>
    <n v="10028"/>
    <s v="Female"/>
    <n v="43"/>
    <x v="0"/>
    <s v="Business Bay"/>
    <n v="55"/>
    <n v="6.74"/>
    <x v="0"/>
    <x v="2"/>
    <n v="14"/>
    <x v="0"/>
    <m/>
    <m/>
    <m/>
    <m/>
    <m/>
    <m/>
    <m/>
    <m/>
  </r>
  <r>
    <x v="222"/>
    <x v="10"/>
    <x v="116"/>
    <n v="10445"/>
    <s v="Female"/>
    <n v="41"/>
    <x v="7"/>
    <s v="Jumeirah"/>
    <n v="51"/>
    <n v="2.57"/>
    <x v="0"/>
    <x v="1"/>
    <n v="13.2"/>
    <x v="1"/>
    <m/>
    <m/>
    <m/>
    <m/>
    <m/>
    <m/>
    <m/>
    <m/>
  </r>
  <r>
    <x v="223"/>
    <x v="11"/>
    <x v="161"/>
    <n v="10278"/>
    <s v="Female"/>
    <n v="39"/>
    <x v="6"/>
    <s v="Silicon Oasis"/>
    <n v="53"/>
    <n v="1.1000000000000001"/>
    <x v="1"/>
    <x v="2"/>
    <n v="15.6"/>
    <x v="2"/>
    <m/>
    <m/>
    <m/>
    <m/>
    <m/>
    <m/>
    <m/>
    <m/>
  </r>
  <r>
    <x v="224"/>
    <x v="2"/>
    <x v="162"/>
    <n v="10469"/>
    <s v="Male"/>
    <n v="27"/>
    <x v="3"/>
    <s v="Business Bay"/>
    <n v="54"/>
    <n v="13.79"/>
    <x v="0"/>
    <x v="1"/>
    <n v="13.8"/>
    <x v="3"/>
    <m/>
    <m/>
    <m/>
    <m/>
    <m/>
    <m/>
    <m/>
    <m/>
  </r>
  <r>
    <x v="225"/>
    <x v="3"/>
    <x v="163"/>
    <n v="10059"/>
    <s v="Male"/>
    <n v="42"/>
    <x v="8"/>
    <s v="City Walk"/>
    <n v="9"/>
    <n v="7.16"/>
    <x v="1"/>
    <x v="0"/>
    <n v="6.8"/>
    <x v="3"/>
    <m/>
    <m/>
    <m/>
    <m/>
    <m/>
    <m/>
    <m/>
    <m/>
  </r>
  <r>
    <x v="226"/>
    <x v="2"/>
    <x v="147"/>
    <n v="10272"/>
    <s v="Female"/>
    <n v="38"/>
    <x v="9"/>
    <s v="Business Bay"/>
    <n v="24"/>
    <n v="3.15"/>
    <x v="1"/>
    <x v="0"/>
    <n v="9.8000000000000007"/>
    <x v="3"/>
    <m/>
    <m/>
    <m/>
    <m/>
    <m/>
    <m/>
    <m/>
    <m/>
  </r>
  <r>
    <x v="227"/>
    <x v="3"/>
    <x v="164"/>
    <n v="10058"/>
    <s v="Male"/>
    <n v="53"/>
    <x v="8"/>
    <s v="Bur Dubai"/>
    <n v="41"/>
    <n v="14.57"/>
    <x v="0"/>
    <x v="2"/>
    <n v="11.2"/>
    <x v="1"/>
    <m/>
    <m/>
    <m/>
    <m/>
    <m/>
    <m/>
    <m/>
    <m/>
  </r>
  <r>
    <x v="228"/>
    <x v="0"/>
    <x v="165"/>
    <n v="10071"/>
    <s v="Male"/>
    <n v="41"/>
    <x v="0"/>
    <s v="Silicon Oasis"/>
    <n v="22"/>
    <n v="2.21"/>
    <x v="1"/>
    <x v="0"/>
    <n v="9.4"/>
    <x v="3"/>
    <m/>
    <m/>
    <m/>
    <m/>
    <m/>
    <m/>
    <m/>
    <m/>
  </r>
  <r>
    <x v="229"/>
    <x v="3"/>
    <x v="166"/>
    <n v="10451"/>
    <s v="Male"/>
    <n v="46"/>
    <x v="3"/>
    <s v="Silicon Oasis"/>
    <n v="19"/>
    <n v="12.47"/>
    <x v="0"/>
    <x v="0"/>
    <n v="6.8"/>
    <x v="3"/>
    <m/>
    <m/>
    <m/>
    <m/>
    <m/>
    <m/>
    <m/>
    <m/>
  </r>
  <r>
    <x v="230"/>
    <x v="5"/>
    <x v="167"/>
    <n v="10484"/>
    <s v="Male"/>
    <n v="48"/>
    <x v="10"/>
    <s v="Business Bay"/>
    <n v="58"/>
    <n v="1.21"/>
    <x v="0"/>
    <x v="1"/>
    <n v="14.6"/>
    <x v="2"/>
    <m/>
    <m/>
    <m/>
    <m/>
    <m/>
    <m/>
    <m/>
    <m/>
  </r>
  <r>
    <x v="231"/>
    <x v="2"/>
    <x v="168"/>
    <n v="10135"/>
    <s v="Female"/>
    <n v="30"/>
    <x v="1"/>
    <s v="Palm Jumeirah"/>
    <n v="35"/>
    <n v="1.59"/>
    <x v="0"/>
    <x v="1"/>
    <n v="10"/>
    <x v="1"/>
    <m/>
    <m/>
    <m/>
    <m/>
    <m/>
    <m/>
    <m/>
    <m/>
  </r>
  <r>
    <x v="232"/>
    <x v="7"/>
    <x v="40"/>
    <n v="10345"/>
    <s v="Female"/>
    <n v="19"/>
    <x v="0"/>
    <s v="Business Bay"/>
    <n v="42"/>
    <n v="2.4500000000000002"/>
    <x v="0"/>
    <x v="0"/>
    <n v="11.4"/>
    <x v="3"/>
    <m/>
    <m/>
    <m/>
    <m/>
    <m/>
    <m/>
    <m/>
    <m/>
  </r>
  <r>
    <x v="233"/>
    <x v="4"/>
    <x v="169"/>
    <n v="10437"/>
    <s v="Female"/>
    <n v="19"/>
    <x v="0"/>
    <s v="Jumeirah"/>
    <n v="6"/>
    <n v="3.48"/>
    <x v="1"/>
    <x v="1"/>
    <n v="6.2"/>
    <x v="0"/>
    <m/>
    <m/>
    <m/>
    <m/>
    <m/>
    <m/>
    <m/>
    <m/>
  </r>
  <r>
    <x v="234"/>
    <x v="4"/>
    <x v="4"/>
    <n v="10203"/>
    <s v="Female"/>
    <n v="25"/>
    <x v="4"/>
    <s v="Jumeirah"/>
    <n v="16"/>
    <n v="7.01"/>
    <x v="0"/>
    <x v="0"/>
    <n v="6.2"/>
    <x v="1"/>
    <m/>
    <m/>
    <m/>
    <m/>
    <m/>
    <m/>
    <m/>
    <m/>
  </r>
  <r>
    <x v="235"/>
    <x v="6"/>
    <x v="170"/>
    <n v="10115"/>
    <s v="Female"/>
    <n v="28"/>
    <x v="0"/>
    <s v="Deira"/>
    <n v="59"/>
    <n v="13.22"/>
    <x v="1"/>
    <x v="2"/>
    <n v="16.8"/>
    <x v="0"/>
    <m/>
    <m/>
    <m/>
    <m/>
    <m/>
    <m/>
    <m/>
    <m/>
  </r>
  <r>
    <x v="236"/>
    <x v="11"/>
    <x v="148"/>
    <n v="10264"/>
    <s v="Female"/>
    <n v="42"/>
    <x v="4"/>
    <s v="JLT"/>
    <n v="19"/>
    <n v="14.76"/>
    <x v="1"/>
    <x v="1"/>
    <n v="8.8000000000000007"/>
    <x v="2"/>
    <m/>
    <m/>
    <m/>
    <m/>
    <m/>
    <m/>
    <m/>
    <m/>
  </r>
  <r>
    <x v="237"/>
    <x v="3"/>
    <x v="163"/>
    <n v="10383"/>
    <s v="Female"/>
    <n v="36"/>
    <x v="1"/>
    <s v="Dubai Marina"/>
    <n v="5"/>
    <n v="10.17"/>
    <x v="0"/>
    <x v="2"/>
    <n v="4"/>
    <x v="3"/>
    <m/>
    <m/>
    <m/>
    <m/>
    <m/>
    <m/>
    <m/>
    <m/>
  </r>
  <r>
    <x v="238"/>
    <x v="7"/>
    <x v="171"/>
    <n v="10268"/>
    <s v="Male"/>
    <n v="45"/>
    <x v="9"/>
    <s v="Deira"/>
    <n v="30"/>
    <n v="12.2"/>
    <x v="1"/>
    <x v="0"/>
    <n v="11"/>
    <x v="1"/>
    <m/>
    <m/>
    <m/>
    <m/>
    <m/>
    <m/>
    <m/>
    <m/>
  </r>
  <r>
    <x v="239"/>
    <x v="7"/>
    <x v="172"/>
    <n v="10008"/>
    <s v="Female"/>
    <n v="25"/>
    <x v="6"/>
    <s v="Dubai Marina"/>
    <n v="42"/>
    <n v="6.7"/>
    <x v="0"/>
    <x v="2"/>
    <n v="11.4"/>
    <x v="3"/>
    <m/>
    <m/>
    <m/>
    <m/>
    <m/>
    <m/>
    <m/>
    <m/>
  </r>
  <r>
    <x v="240"/>
    <x v="8"/>
    <x v="173"/>
    <n v="10070"/>
    <s v="Male"/>
    <n v="23"/>
    <x v="8"/>
    <s v="Business Bay"/>
    <n v="31"/>
    <n v="12.94"/>
    <x v="1"/>
    <x v="0"/>
    <n v="11.2"/>
    <x v="2"/>
    <m/>
    <m/>
    <m/>
    <m/>
    <m/>
    <m/>
    <m/>
    <m/>
  </r>
  <r>
    <x v="241"/>
    <x v="7"/>
    <x v="90"/>
    <n v="10347"/>
    <s v="Male"/>
    <n v="33"/>
    <x v="10"/>
    <s v="Business Bay"/>
    <n v="58"/>
    <n v="12.89"/>
    <x v="0"/>
    <x v="1"/>
    <n v="14.6"/>
    <x v="0"/>
    <m/>
    <m/>
    <m/>
    <m/>
    <m/>
    <m/>
    <m/>
    <m/>
  </r>
  <r>
    <x v="242"/>
    <x v="1"/>
    <x v="68"/>
    <n v="10350"/>
    <s v="Female"/>
    <n v="33"/>
    <x v="9"/>
    <s v="Dubai Marina"/>
    <n v="9"/>
    <n v="14.46"/>
    <x v="0"/>
    <x v="2"/>
    <n v="4.8"/>
    <x v="2"/>
    <m/>
    <m/>
    <m/>
    <m/>
    <m/>
    <m/>
    <m/>
    <m/>
  </r>
  <r>
    <x v="243"/>
    <x v="7"/>
    <x v="94"/>
    <n v="10461"/>
    <s v="Male"/>
    <n v="38"/>
    <x v="2"/>
    <s v="City Walk"/>
    <n v="10"/>
    <n v="3.68"/>
    <x v="0"/>
    <x v="1"/>
    <n v="5"/>
    <x v="1"/>
    <m/>
    <m/>
    <m/>
    <m/>
    <m/>
    <m/>
    <m/>
    <m/>
  </r>
  <r>
    <x v="244"/>
    <x v="3"/>
    <x v="166"/>
    <n v="10066"/>
    <s v="Male"/>
    <n v="43"/>
    <x v="6"/>
    <s v="Dubai Marina"/>
    <n v="27"/>
    <n v="4.91"/>
    <x v="1"/>
    <x v="0"/>
    <n v="10.4"/>
    <x v="3"/>
    <m/>
    <m/>
    <m/>
    <m/>
    <m/>
    <m/>
    <m/>
    <m/>
  </r>
  <r>
    <x v="245"/>
    <x v="4"/>
    <x v="174"/>
    <n v="10141"/>
    <s v="Female"/>
    <n v="31"/>
    <x v="6"/>
    <s v="Al Barsha"/>
    <n v="53"/>
    <n v="4.25"/>
    <x v="0"/>
    <x v="0"/>
    <n v="13.6"/>
    <x v="0"/>
    <m/>
    <m/>
    <m/>
    <m/>
    <m/>
    <m/>
    <m/>
    <m/>
  </r>
  <r>
    <x v="246"/>
    <x v="9"/>
    <x v="175"/>
    <n v="10489"/>
    <s v="Female"/>
    <n v="27"/>
    <x v="3"/>
    <s v="Jumeirah"/>
    <n v="33"/>
    <n v="4.3099999999999996"/>
    <x v="0"/>
    <x v="2"/>
    <n v="9.6"/>
    <x v="2"/>
    <m/>
    <m/>
    <m/>
    <m/>
    <m/>
    <m/>
    <m/>
    <m/>
  </r>
  <r>
    <x v="247"/>
    <x v="5"/>
    <x v="176"/>
    <n v="10287"/>
    <s v="Female"/>
    <n v="45"/>
    <x v="7"/>
    <s v="Karama"/>
    <n v="40"/>
    <n v="7.81"/>
    <x v="1"/>
    <x v="2"/>
    <n v="13"/>
    <x v="2"/>
    <m/>
    <m/>
    <m/>
    <m/>
    <m/>
    <m/>
    <m/>
    <m/>
  </r>
  <r>
    <x v="248"/>
    <x v="2"/>
    <x v="177"/>
    <n v="10432"/>
    <s v="Female"/>
    <n v="39"/>
    <x v="8"/>
    <s v="Downtown Dubai"/>
    <n v="50"/>
    <n v="11"/>
    <x v="1"/>
    <x v="1"/>
    <n v="15"/>
    <x v="1"/>
    <m/>
    <m/>
    <m/>
    <m/>
    <m/>
    <m/>
    <m/>
    <m/>
  </r>
  <r>
    <x v="249"/>
    <x v="8"/>
    <x v="178"/>
    <n v="10184"/>
    <s v="Male"/>
    <n v="38"/>
    <x v="4"/>
    <s v="Deira"/>
    <n v="41"/>
    <n v="7.79"/>
    <x v="0"/>
    <x v="1"/>
    <n v="11.2"/>
    <x v="2"/>
    <m/>
    <m/>
    <m/>
    <m/>
    <m/>
    <m/>
    <m/>
    <m/>
  </r>
  <r>
    <x v="250"/>
    <x v="11"/>
    <x v="179"/>
    <n v="10336"/>
    <s v="Female"/>
    <n v="31"/>
    <x v="3"/>
    <s v="Business Bay"/>
    <n v="22"/>
    <n v="11.83"/>
    <x v="1"/>
    <x v="1"/>
    <n v="9.4"/>
    <x v="3"/>
    <m/>
    <m/>
    <m/>
    <m/>
    <m/>
    <m/>
    <m/>
    <m/>
  </r>
  <r>
    <x v="251"/>
    <x v="6"/>
    <x v="72"/>
    <n v="10061"/>
    <s v="Female"/>
    <n v="27"/>
    <x v="2"/>
    <s v="Al Barsha"/>
    <n v="9"/>
    <n v="9.76"/>
    <x v="1"/>
    <x v="1"/>
    <n v="6.8"/>
    <x v="0"/>
    <m/>
    <m/>
    <m/>
    <m/>
    <m/>
    <m/>
    <m/>
    <m/>
  </r>
  <r>
    <x v="252"/>
    <x v="6"/>
    <x v="98"/>
    <n v="10456"/>
    <s v="Female"/>
    <n v="43"/>
    <x v="1"/>
    <s v="Dubai Marina"/>
    <n v="37"/>
    <n v="11.49"/>
    <x v="0"/>
    <x v="2"/>
    <n v="10.4"/>
    <x v="2"/>
    <m/>
    <m/>
    <m/>
    <m/>
    <m/>
    <m/>
    <m/>
    <m/>
  </r>
  <r>
    <x v="253"/>
    <x v="0"/>
    <x v="180"/>
    <n v="10281"/>
    <s v="Female"/>
    <n v="51"/>
    <x v="1"/>
    <s v="Business Bay"/>
    <n v="49"/>
    <n v="9.08"/>
    <x v="0"/>
    <x v="0"/>
    <n v="12.8"/>
    <x v="1"/>
    <m/>
    <m/>
    <m/>
    <m/>
    <m/>
    <m/>
    <m/>
    <m/>
  </r>
  <r>
    <x v="254"/>
    <x v="4"/>
    <x v="45"/>
    <n v="10257"/>
    <s v="Female"/>
    <n v="47"/>
    <x v="5"/>
    <s v="City Walk"/>
    <n v="17"/>
    <n v="8.67"/>
    <x v="1"/>
    <x v="0"/>
    <n v="8.4"/>
    <x v="1"/>
    <m/>
    <m/>
    <m/>
    <m/>
    <m/>
    <m/>
    <m/>
    <m/>
  </r>
  <r>
    <x v="255"/>
    <x v="11"/>
    <x v="181"/>
    <n v="10069"/>
    <s v="Male"/>
    <n v="37"/>
    <x v="4"/>
    <s v="Jumeirah"/>
    <n v="28"/>
    <n v="13.63"/>
    <x v="1"/>
    <x v="1"/>
    <n v="10.6"/>
    <x v="2"/>
    <m/>
    <m/>
    <m/>
    <m/>
    <m/>
    <m/>
    <m/>
    <m/>
  </r>
  <r>
    <x v="256"/>
    <x v="5"/>
    <x v="182"/>
    <n v="10189"/>
    <s v="Female"/>
    <n v="22"/>
    <x v="4"/>
    <s v="Al Barsha"/>
    <n v="28"/>
    <n v="1.44"/>
    <x v="0"/>
    <x v="0"/>
    <n v="8.6"/>
    <x v="3"/>
    <m/>
    <m/>
    <m/>
    <m/>
    <m/>
    <m/>
    <m/>
    <m/>
  </r>
  <r>
    <x v="257"/>
    <x v="10"/>
    <x v="183"/>
    <n v="10242"/>
    <s v="Female"/>
    <n v="53"/>
    <x v="10"/>
    <s v="Jumeirah"/>
    <n v="28"/>
    <n v="2.31"/>
    <x v="1"/>
    <x v="1"/>
    <n v="10.6"/>
    <x v="1"/>
    <m/>
    <m/>
    <m/>
    <m/>
    <m/>
    <m/>
    <m/>
    <m/>
  </r>
  <r>
    <x v="258"/>
    <x v="6"/>
    <x v="184"/>
    <n v="10255"/>
    <s v="Male"/>
    <n v="40"/>
    <x v="11"/>
    <s v="Deira"/>
    <n v="50"/>
    <n v="14.25"/>
    <x v="0"/>
    <x v="2"/>
    <n v="13"/>
    <x v="1"/>
    <m/>
    <m/>
    <m/>
    <m/>
    <m/>
    <m/>
    <m/>
    <m/>
  </r>
  <r>
    <x v="259"/>
    <x v="10"/>
    <x v="116"/>
    <n v="10136"/>
    <s v="Male"/>
    <n v="34"/>
    <x v="6"/>
    <s v="City Walk"/>
    <n v="52"/>
    <n v="10.45"/>
    <x v="0"/>
    <x v="2"/>
    <n v="13.4"/>
    <x v="1"/>
    <m/>
    <m/>
    <m/>
    <m/>
    <m/>
    <m/>
    <m/>
    <m/>
  </r>
  <r>
    <x v="260"/>
    <x v="11"/>
    <x v="185"/>
    <n v="10204"/>
    <s v="Male"/>
    <n v="32"/>
    <x v="10"/>
    <s v="JLT"/>
    <n v="24"/>
    <n v="6.96"/>
    <x v="1"/>
    <x v="0"/>
    <n v="9.8000000000000007"/>
    <x v="3"/>
    <m/>
    <m/>
    <m/>
    <m/>
    <m/>
    <m/>
    <m/>
    <m/>
  </r>
  <r>
    <x v="261"/>
    <x v="3"/>
    <x v="29"/>
    <n v="10105"/>
    <s v="Female"/>
    <n v="28"/>
    <x v="3"/>
    <s v="City Walk"/>
    <n v="28"/>
    <n v="12.46"/>
    <x v="1"/>
    <x v="0"/>
    <n v="10.6"/>
    <x v="0"/>
    <m/>
    <m/>
    <m/>
    <m/>
    <m/>
    <m/>
    <m/>
    <m/>
  </r>
  <r>
    <x v="262"/>
    <x v="10"/>
    <x v="186"/>
    <n v="10076"/>
    <s v="Female"/>
    <n v="28"/>
    <x v="5"/>
    <s v="Business Bay"/>
    <n v="48"/>
    <n v="10.99"/>
    <x v="0"/>
    <x v="0"/>
    <n v="12.6"/>
    <x v="1"/>
    <m/>
    <m/>
    <m/>
    <m/>
    <m/>
    <m/>
    <m/>
    <m/>
  </r>
  <r>
    <x v="263"/>
    <x v="6"/>
    <x v="187"/>
    <n v="10444"/>
    <s v="Male"/>
    <n v="53"/>
    <x v="11"/>
    <s v="Karama"/>
    <n v="13"/>
    <n v="8.84"/>
    <x v="0"/>
    <x v="1"/>
    <n v="5.6"/>
    <x v="2"/>
    <m/>
    <m/>
    <m/>
    <m/>
    <m/>
    <m/>
    <m/>
    <m/>
  </r>
  <r>
    <x v="264"/>
    <x v="4"/>
    <x v="188"/>
    <n v="10144"/>
    <s v="Female"/>
    <n v="35"/>
    <x v="2"/>
    <s v="Al Barsha"/>
    <n v="56"/>
    <n v="2.41"/>
    <x v="1"/>
    <x v="0"/>
    <n v="16.2"/>
    <x v="3"/>
    <m/>
    <m/>
    <m/>
    <m/>
    <m/>
    <m/>
    <m/>
    <m/>
  </r>
  <r>
    <x v="265"/>
    <x v="8"/>
    <x v="41"/>
    <n v="10353"/>
    <s v="Female"/>
    <n v="36"/>
    <x v="6"/>
    <s v="Jumeirah"/>
    <n v="32"/>
    <n v="10.8"/>
    <x v="0"/>
    <x v="1"/>
    <n v="9.4"/>
    <x v="1"/>
    <m/>
    <m/>
    <m/>
    <m/>
    <m/>
    <m/>
    <m/>
    <m/>
  </r>
  <r>
    <x v="266"/>
    <x v="6"/>
    <x v="189"/>
    <n v="10116"/>
    <s v="Female"/>
    <n v="32"/>
    <x v="1"/>
    <s v="Palm Jumeirah"/>
    <n v="48"/>
    <n v="10.07"/>
    <x v="0"/>
    <x v="0"/>
    <n v="12.6"/>
    <x v="1"/>
    <m/>
    <m/>
    <m/>
    <m/>
    <m/>
    <m/>
    <m/>
    <m/>
  </r>
  <r>
    <x v="267"/>
    <x v="0"/>
    <x v="190"/>
    <n v="10081"/>
    <s v="Female"/>
    <n v="52"/>
    <x v="7"/>
    <s v="Deira"/>
    <n v="38"/>
    <n v="3.21"/>
    <x v="0"/>
    <x v="2"/>
    <n v="10.6"/>
    <x v="2"/>
    <m/>
    <m/>
    <m/>
    <m/>
    <m/>
    <m/>
    <m/>
    <m/>
  </r>
  <r>
    <x v="268"/>
    <x v="8"/>
    <x v="191"/>
    <n v="10186"/>
    <s v="Female"/>
    <n v="40"/>
    <x v="11"/>
    <s v="Bur Dubai"/>
    <n v="28"/>
    <n v="12.21"/>
    <x v="0"/>
    <x v="1"/>
    <n v="8.6"/>
    <x v="2"/>
    <m/>
    <m/>
    <m/>
    <m/>
    <m/>
    <m/>
    <m/>
    <m/>
  </r>
  <r>
    <x v="269"/>
    <x v="9"/>
    <x v="175"/>
    <n v="10462"/>
    <s v="Female"/>
    <n v="30"/>
    <x v="7"/>
    <s v="Business Bay"/>
    <n v="23"/>
    <n v="5.3"/>
    <x v="0"/>
    <x v="1"/>
    <n v="7.6"/>
    <x v="3"/>
    <m/>
    <m/>
    <m/>
    <m/>
    <m/>
    <m/>
    <m/>
    <m/>
  </r>
  <r>
    <x v="270"/>
    <x v="9"/>
    <x v="87"/>
    <n v="10113"/>
    <s v="Male"/>
    <n v="33"/>
    <x v="9"/>
    <s v="Silicon Oasis"/>
    <n v="10"/>
    <n v="9.51"/>
    <x v="1"/>
    <x v="2"/>
    <n v="7"/>
    <x v="3"/>
    <m/>
    <m/>
    <m/>
    <m/>
    <m/>
    <m/>
    <m/>
    <m/>
  </r>
  <r>
    <x v="271"/>
    <x v="8"/>
    <x v="47"/>
    <n v="10262"/>
    <s v="Male"/>
    <n v="20"/>
    <x v="5"/>
    <s v="Downtown Dubai"/>
    <n v="5"/>
    <n v="4.67"/>
    <x v="1"/>
    <x v="2"/>
    <n v="6"/>
    <x v="0"/>
    <m/>
    <m/>
    <m/>
    <m/>
    <m/>
    <m/>
    <m/>
    <m/>
  </r>
  <r>
    <x v="272"/>
    <x v="10"/>
    <x v="192"/>
    <n v="10359"/>
    <s v="Female"/>
    <n v="19"/>
    <x v="4"/>
    <s v="Karama"/>
    <n v="55"/>
    <n v="7.87"/>
    <x v="0"/>
    <x v="0"/>
    <n v="14"/>
    <x v="3"/>
    <m/>
    <m/>
    <m/>
    <m/>
    <m/>
    <m/>
    <m/>
    <m/>
  </r>
  <r>
    <x v="273"/>
    <x v="4"/>
    <x v="45"/>
    <n v="10095"/>
    <s v="Female"/>
    <n v="26"/>
    <x v="8"/>
    <s v="Downtown Dubai"/>
    <n v="21"/>
    <n v="7.3"/>
    <x v="0"/>
    <x v="1"/>
    <n v="7.2"/>
    <x v="1"/>
    <m/>
    <m/>
    <m/>
    <m/>
    <m/>
    <m/>
    <m/>
    <m/>
  </r>
  <r>
    <x v="274"/>
    <x v="11"/>
    <x v="22"/>
    <n v="10293"/>
    <s v="Male"/>
    <n v="47"/>
    <x v="11"/>
    <s v="Jumeirah"/>
    <n v="56"/>
    <n v="10.65"/>
    <x v="0"/>
    <x v="0"/>
    <n v="14.2"/>
    <x v="0"/>
    <m/>
    <m/>
    <m/>
    <m/>
    <m/>
    <m/>
    <m/>
    <m/>
  </r>
  <r>
    <x v="275"/>
    <x v="0"/>
    <x v="118"/>
    <n v="10079"/>
    <s v="Female"/>
    <n v="21"/>
    <x v="11"/>
    <s v="Jumeirah"/>
    <n v="26"/>
    <n v="1.76"/>
    <x v="0"/>
    <x v="1"/>
    <n v="8.1999999999999993"/>
    <x v="2"/>
    <m/>
    <m/>
    <m/>
    <m/>
    <m/>
    <m/>
    <m/>
    <m/>
  </r>
  <r>
    <x v="276"/>
    <x v="11"/>
    <x v="154"/>
    <n v="10129"/>
    <s v="Female"/>
    <n v="25"/>
    <x v="6"/>
    <s v="Bur Dubai"/>
    <n v="40"/>
    <n v="10.59"/>
    <x v="1"/>
    <x v="0"/>
    <n v="13"/>
    <x v="2"/>
    <m/>
    <m/>
    <m/>
    <m/>
    <m/>
    <m/>
    <m/>
    <m/>
  </r>
  <r>
    <x v="277"/>
    <x v="0"/>
    <x v="193"/>
    <n v="10101"/>
    <s v="Female"/>
    <n v="22"/>
    <x v="9"/>
    <s v="JLT"/>
    <n v="55"/>
    <n v="6.98"/>
    <x v="1"/>
    <x v="2"/>
    <n v="16"/>
    <x v="3"/>
    <m/>
    <m/>
    <m/>
    <m/>
    <m/>
    <m/>
    <m/>
    <m/>
  </r>
  <r>
    <x v="278"/>
    <x v="8"/>
    <x v="194"/>
    <n v="10188"/>
    <s v="Female"/>
    <n v="53"/>
    <x v="5"/>
    <s v="JLT"/>
    <n v="34"/>
    <n v="4.67"/>
    <x v="1"/>
    <x v="1"/>
    <n v="11.8"/>
    <x v="0"/>
    <m/>
    <m/>
    <m/>
    <m/>
    <m/>
    <m/>
    <m/>
    <m/>
  </r>
  <r>
    <x v="279"/>
    <x v="4"/>
    <x v="195"/>
    <n v="10067"/>
    <s v="Male"/>
    <n v="55"/>
    <x v="5"/>
    <s v="Jumeirah"/>
    <n v="45"/>
    <n v="7.72"/>
    <x v="0"/>
    <x v="1"/>
    <n v="12"/>
    <x v="1"/>
    <m/>
    <m/>
    <m/>
    <m/>
    <m/>
    <m/>
    <m/>
    <m/>
  </r>
  <r>
    <x v="280"/>
    <x v="1"/>
    <x v="196"/>
    <n v="10375"/>
    <s v="Female"/>
    <n v="50"/>
    <x v="2"/>
    <s v="Downtown Dubai"/>
    <n v="47"/>
    <n v="14.03"/>
    <x v="1"/>
    <x v="1"/>
    <n v="14.4"/>
    <x v="2"/>
    <m/>
    <m/>
    <m/>
    <m/>
    <m/>
    <m/>
    <m/>
    <m/>
  </r>
  <r>
    <x v="281"/>
    <x v="6"/>
    <x v="72"/>
    <n v="10483"/>
    <s v="Male"/>
    <n v="48"/>
    <x v="10"/>
    <s v="Jumeirah"/>
    <n v="33"/>
    <n v="5.64"/>
    <x v="0"/>
    <x v="1"/>
    <n v="9.6"/>
    <x v="3"/>
    <m/>
    <m/>
    <m/>
    <m/>
    <m/>
    <m/>
    <m/>
    <m/>
  </r>
  <r>
    <x v="282"/>
    <x v="4"/>
    <x v="45"/>
    <n v="10032"/>
    <s v="Female"/>
    <n v="50"/>
    <x v="0"/>
    <s v="Karama"/>
    <n v="30"/>
    <n v="7.43"/>
    <x v="1"/>
    <x v="1"/>
    <n v="11"/>
    <x v="2"/>
    <m/>
    <m/>
    <m/>
    <m/>
    <m/>
    <m/>
    <m/>
    <m/>
  </r>
  <r>
    <x v="283"/>
    <x v="7"/>
    <x v="197"/>
    <n v="10404"/>
    <s v="Female"/>
    <n v="42"/>
    <x v="11"/>
    <s v="JLT"/>
    <n v="41"/>
    <n v="10.95"/>
    <x v="1"/>
    <x v="1"/>
    <n v="13.2"/>
    <x v="3"/>
    <m/>
    <m/>
    <m/>
    <m/>
    <m/>
    <m/>
    <m/>
    <m/>
  </r>
  <r>
    <x v="284"/>
    <x v="4"/>
    <x v="135"/>
    <n v="10148"/>
    <s v="Female"/>
    <n v="42"/>
    <x v="7"/>
    <s v="JLT"/>
    <n v="7"/>
    <n v="5.59"/>
    <x v="0"/>
    <x v="2"/>
    <n v="4.4000000000000004"/>
    <x v="1"/>
    <m/>
    <m/>
    <m/>
    <m/>
    <m/>
    <m/>
    <m/>
    <m/>
  </r>
  <r>
    <x v="285"/>
    <x v="1"/>
    <x v="198"/>
    <n v="10450"/>
    <s v="Female"/>
    <n v="45"/>
    <x v="3"/>
    <s v="Bur Dubai"/>
    <n v="35"/>
    <n v="6.78"/>
    <x v="1"/>
    <x v="0"/>
    <n v="12"/>
    <x v="2"/>
    <m/>
    <m/>
    <m/>
    <m/>
    <m/>
    <m/>
    <m/>
    <m/>
  </r>
  <r>
    <x v="286"/>
    <x v="0"/>
    <x v="190"/>
    <n v="10420"/>
    <s v="Female"/>
    <n v="19"/>
    <x v="4"/>
    <s v="Palm Jumeirah"/>
    <n v="53"/>
    <n v="9.94"/>
    <x v="0"/>
    <x v="2"/>
    <n v="13.6"/>
    <x v="1"/>
    <m/>
    <m/>
    <m/>
    <m/>
    <m/>
    <m/>
    <m/>
    <m/>
  </r>
  <r>
    <x v="287"/>
    <x v="0"/>
    <x v="0"/>
    <n v="10442"/>
    <s v="Female"/>
    <n v="53"/>
    <x v="3"/>
    <s v="Silicon Oasis"/>
    <n v="52"/>
    <n v="7.16"/>
    <x v="1"/>
    <x v="1"/>
    <n v="15.4"/>
    <x v="3"/>
    <m/>
    <m/>
    <m/>
    <m/>
    <m/>
    <m/>
    <m/>
    <m/>
  </r>
  <r>
    <x v="288"/>
    <x v="7"/>
    <x v="84"/>
    <n v="10155"/>
    <s v="Female"/>
    <n v="49"/>
    <x v="3"/>
    <s v="Bur Dubai"/>
    <n v="14"/>
    <n v="12.46"/>
    <x v="1"/>
    <x v="1"/>
    <n v="7.8"/>
    <x v="3"/>
    <m/>
    <m/>
    <m/>
    <m/>
    <m/>
    <m/>
    <m/>
    <m/>
  </r>
  <r>
    <x v="289"/>
    <x v="11"/>
    <x v="199"/>
    <n v="10339"/>
    <s v="Female"/>
    <n v="22"/>
    <x v="10"/>
    <s v="Jumeirah"/>
    <n v="55"/>
    <n v="1.61"/>
    <x v="0"/>
    <x v="0"/>
    <n v="14"/>
    <x v="3"/>
    <m/>
    <m/>
    <m/>
    <m/>
    <m/>
    <m/>
    <m/>
    <m/>
  </r>
  <r>
    <x v="290"/>
    <x v="8"/>
    <x v="159"/>
    <n v="10201"/>
    <s v="Male"/>
    <n v="45"/>
    <x v="3"/>
    <s v="Al Barsha"/>
    <n v="8"/>
    <n v="1.74"/>
    <x v="1"/>
    <x v="2"/>
    <n v="6.6"/>
    <x v="3"/>
    <m/>
    <m/>
    <m/>
    <m/>
    <m/>
    <m/>
    <m/>
    <m/>
  </r>
  <r>
    <x v="291"/>
    <x v="6"/>
    <x v="200"/>
    <n v="10229"/>
    <s v="Male"/>
    <n v="54"/>
    <x v="7"/>
    <s v="Silicon Oasis"/>
    <n v="6"/>
    <n v="1.42"/>
    <x v="1"/>
    <x v="1"/>
    <n v="6.2"/>
    <x v="2"/>
    <m/>
    <m/>
    <m/>
    <m/>
    <m/>
    <m/>
    <m/>
    <m/>
  </r>
  <r>
    <x v="292"/>
    <x v="5"/>
    <x v="201"/>
    <n v="10042"/>
    <s v="Female"/>
    <n v="22"/>
    <x v="4"/>
    <s v="Al Barsha"/>
    <n v="41"/>
    <n v="1.37"/>
    <x v="1"/>
    <x v="0"/>
    <n v="13.2"/>
    <x v="2"/>
    <m/>
    <m/>
    <m/>
    <m/>
    <m/>
    <m/>
    <m/>
    <m/>
  </r>
  <r>
    <x v="293"/>
    <x v="11"/>
    <x v="54"/>
    <n v="10337"/>
    <s v="Female"/>
    <n v="37"/>
    <x v="10"/>
    <s v="Deira"/>
    <n v="22"/>
    <n v="9.0299999999999994"/>
    <x v="1"/>
    <x v="2"/>
    <n v="9.4"/>
    <x v="3"/>
    <m/>
    <m/>
    <m/>
    <m/>
    <m/>
    <m/>
    <m/>
    <m/>
  </r>
  <r>
    <x v="294"/>
    <x v="3"/>
    <x v="163"/>
    <n v="10169"/>
    <s v="Female"/>
    <n v="30"/>
    <x v="8"/>
    <s v="City Walk"/>
    <n v="28"/>
    <n v="4.5"/>
    <x v="1"/>
    <x v="1"/>
    <n v="10.6"/>
    <x v="2"/>
    <m/>
    <m/>
    <m/>
    <m/>
    <m/>
    <m/>
    <m/>
    <m/>
  </r>
  <r>
    <x v="295"/>
    <x v="11"/>
    <x v="95"/>
    <n v="10149"/>
    <s v="Female"/>
    <n v="46"/>
    <x v="0"/>
    <s v="Bur Dubai"/>
    <n v="23"/>
    <n v="6.48"/>
    <x v="1"/>
    <x v="0"/>
    <n v="9.6"/>
    <x v="0"/>
    <m/>
    <m/>
    <m/>
    <m/>
    <m/>
    <m/>
    <m/>
    <m/>
  </r>
  <r>
    <x v="296"/>
    <x v="4"/>
    <x v="140"/>
    <n v="10493"/>
    <s v="Male"/>
    <n v="21"/>
    <x v="0"/>
    <s v="Business Bay"/>
    <n v="42"/>
    <n v="7.06"/>
    <x v="0"/>
    <x v="2"/>
    <n v="11.4"/>
    <x v="0"/>
    <m/>
    <m/>
    <m/>
    <m/>
    <m/>
    <m/>
    <m/>
    <m/>
  </r>
  <r>
    <x v="297"/>
    <x v="4"/>
    <x v="202"/>
    <n v="10271"/>
    <s v="Male"/>
    <n v="31"/>
    <x v="7"/>
    <s v="Karama"/>
    <n v="28"/>
    <n v="14.77"/>
    <x v="0"/>
    <x v="1"/>
    <n v="8.6"/>
    <x v="1"/>
    <m/>
    <m/>
    <m/>
    <m/>
    <m/>
    <m/>
    <m/>
    <m/>
  </r>
  <r>
    <x v="298"/>
    <x v="7"/>
    <x v="203"/>
    <n v="10423"/>
    <s v="Male"/>
    <n v="27"/>
    <x v="1"/>
    <s v="Bur Dubai"/>
    <n v="46"/>
    <n v="4.5599999999999996"/>
    <x v="0"/>
    <x v="0"/>
    <n v="12.2"/>
    <x v="1"/>
    <m/>
    <m/>
    <m/>
    <m/>
    <m/>
    <m/>
    <m/>
    <m/>
  </r>
  <r>
    <x v="299"/>
    <x v="7"/>
    <x v="100"/>
    <n v="10114"/>
    <s v="Male"/>
    <n v="29"/>
    <x v="5"/>
    <s v="JLT"/>
    <n v="53"/>
    <n v="3.98"/>
    <x v="0"/>
    <x v="0"/>
    <n v="13.6"/>
    <x v="2"/>
    <m/>
    <m/>
    <m/>
    <m/>
    <m/>
    <m/>
    <m/>
    <m/>
  </r>
  <r>
    <x v="300"/>
    <x v="4"/>
    <x v="195"/>
    <n v="10481"/>
    <s v="Female"/>
    <n v="47"/>
    <x v="0"/>
    <s v="Karama"/>
    <n v="38"/>
    <n v="2.57"/>
    <x v="0"/>
    <x v="0"/>
    <n v="10.6"/>
    <x v="0"/>
    <m/>
    <m/>
    <m/>
    <m/>
    <m/>
    <m/>
    <m/>
    <m/>
  </r>
  <r>
    <x v="301"/>
    <x v="5"/>
    <x v="70"/>
    <n v="10410"/>
    <s v="Female"/>
    <n v="29"/>
    <x v="11"/>
    <s v="Karama"/>
    <n v="48"/>
    <n v="14.48"/>
    <x v="1"/>
    <x v="0"/>
    <n v="14.6"/>
    <x v="3"/>
    <m/>
    <m/>
    <m/>
    <m/>
    <m/>
    <m/>
    <m/>
    <m/>
  </r>
  <r>
    <x v="302"/>
    <x v="7"/>
    <x v="40"/>
    <n v="10279"/>
    <s v="Female"/>
    <n v="30"/>
    <x v="11"/>
    <s v="Jumeirah"/>
    <n v="52"/>
    <n v="1.56"/>
    <x v="1"/>
    <x v="1"/>
    <n v="15.4"/>
    <x v="2"/>
    <m/>
    <m/>
    <m/>
    <m/>
    <m/>
    <m/>
    <m/>
    <m/>
  </r>
  <r>
    <x v="303"/>
    <x v="0"/>
    <x v="0"/>
    <n v="10120"/>
    <s v="Male"/>
    <n v="33"/>
    <x v="3"/>
    <s v="JLT"/>
    <n v="48"/>
    <n v="11.96"/>
    <x v="1"/>
    <x v="2"/>
    <n v="14.6"/>
    <x v="2"/>
    <m/>
    <m/>
    <m/>
    <m/>
    <m/>
    <m/>
    <m/>
    <m/>
  </r>
  <r>
    <x v="304"/>
    <x v="5"/>
    <x v="50"/>
    <n v="10322"/>
    <s v="Male"/>
    <n v="51"/>
    <x v="1"/>
    <s v="Jumeirah"/>
    <n v="39"/>
    <n v="12.19"/>
    <x v="1"/>
    <x v="1"/>
    <n v="12.8"/>
    <x v="2"/>
    <m/>
    <m/>
    <m/>
    <m/>
    <m/>
    <m/>
    <m/>
    <m/>
  </r>
  <r>
    <x v="305"/>
    <x v="11"/>
    <x v="204"/>
    <n v="10029"/>
    <s v="Male"/>
    <n v="39"/>
    <x v="10"/>
    <s v="City Walk"/>
    <n v="11"/>
    <n v="1.47"/>
    <x v="1"/>
    <x v="2"/>
    <n v="7.2"/>
    <x v="0"/>
    <m/>
    <m/>
    <m/>
    <m/>
    <m/>
    <m/>
    <m/>
    <m/>
  </r>
  <r>
    <x v="306"/>
    <x v="4"/>
    <x v="205"/>
    <n v="10174"/>
    <s v="Male"/>
    <n v="53"/>
    <x v="2"/>
    <s v="Downtown Dubai"/>
    <n v="22"/>
    <n v="14.81"/>
    <x v="0"/>
    <x v="0"/>
    <n v="7.4"/>
    <x v="2"/>
    <m/>
    <m/>
    <m/>
    <m/>
    <m/>
    <m/>
    <m/>
    <m/>
  </r>
  <r>
    <x v="307"/>
    <x v="1"/>
    <x v="206"/>
    <n v="10317"/>
    <s v="Female"/>
    <n v="42"/>
    <x v="9"/>
    <s v="Dubai Marina"/>
    <n v="46"/>
    <n v="9.49"/>
    <x v="1"/>
    <x v="2"/>
    <n v="14.2"/>
    <x v="2"/>
    <m/>
    <m/>
    <m/>
    <m/>
    <m/>
    <m/>
    <m/>
    <m/>
  </r>
  <r>
    <x v="308"/>
    <x v="7"/>
    <x v="171"/>
    <n v="10304"/>
    <s v="Male"/>
    <n v="53"/>
    <x v="1"/>
    <s v="City Walk"/>
    <n v="56"/>
    <n v="8.1300000000000008"/>
    <x v="1"/>
    <x v="1"/>
    <n v="16.2"/>
    <x v="2"/>
    <m/>
    <m/>
    <m/>
    <m/>
    <m/>
    <m/>
    <m/>
    <m/>
  </r>
  <r>
    <x v="309"/>
    <x v="5"/>
    <x v="207"/>
    <n v="10010"/>
    <s v="Female"/>
    <n v="18"/>
    <x v="1"/>
    <s v="City Walk"/>
    <n v="39"/>
    <n v="7.71"/>
    <x v="0"/>
    <x v="0"/>
    <n v="10.8"/>
    <x v="1"/>
    <m/>
    <m/>
    <m/>
    <m/>
    <m/>
    <m/>
    <m/>
    <m/>
  </r>
  <r>
    <x v="310"/>
    <x v="1"/>
    <x v="206"/>
    <n v="10379"/>
    <s v="Male"/>
    <n v="35"/>
    <x v="11"/>
    <s v="City Walk"/>
    <n v="18"/>
    <n v="9.6300000000000008"/>
    <x v="1"/>
    <x v="0"/>
    <n v="8.6"/>
    <x v="0"/>
    <m/>
    <m/>
    <m/>
    <m/>
    <m/>
    <m/>
    <m/>
    <m/>
  </r>
  <r>
    <x v="311"/>
    <x v="11"/>
    <x v="112"/>
    <n v="10497"/>
    <s v="Male"/>
    <n v="32"/>
    <x v="1"/>
    <s v="Al Barsha"/>
    <n v="14"/>
    <n v="3.04"/>
    <x v="0"/>
    <x v="2"/>
    <n v="5.8"/>
    <x v="2"/>
    <m/>
    <m/>
    <m/>
    <m/>
    <m/>
    <m/>
    <m/>
    <m/>
  </r>
  <r>
    <x v="312"/>
    <x v="11"/>
    <x v="204"/>
    <n v="10173"/>
    <s v="Male"/>
    <n v="48"/>
    <x v="4"/>
    <s v="Karama"/>
    <n v="25"/>
    <n v="5.0599999999999996"/>
    <x v="0"/>
    <x v="2"/>
    <n v="8"/>
    <x v="0"/>
    <m/>
    <m/>
    <m/>
    <m/>
    <m/>
    <m/>
    <m/>
    <m/>
  </r>
  <r>
    <x v="313"/>
    <x v="8"/>
    <x v="208"/>
    <n v="10250"/>
    <s v="Female"/>
    <n v="43"/>
    <x v="5"/>
    <s v="Dubai Marina"/>
    <n v="35"/>
    <n v="5.85"/>
    <x v="1"/>
    <x v="0"/>
    <n v="12"/>
    <x v="0"/>
    <m/>
    <m/>
    <m/>
    <m/>
    <m/>
    <m/>
    <m/>
    <m/>
  </r>
  <r>
    <x v="314"/>
    <x v="11"/>
    <x v="199"/>
    <n v="10209"/>
    <s v="Male"/>
    <n v="44"/>
    <x v="0"/>
    <s v="City Walk"/>
    <n v="5"/>
    <n v="1.86"/>
    <x v="0"/>
    <x v="1"/>
    <n v="4"/>
    <x v="1"/>
    <m/>
    <m/>
    <m/>
    <m/>
    <m/>
    <m/>
    <m/>
    <m/>
  </r>
  <r>
    <x v="315"/>
    <x v="1"/>
    <x v="144"/>
    <n v="10130"/>
    <s v="Male"/>
    <n v="37"/>
    <x v="1"/>
    <s v="Silicon Oasis"/>
    <n v="14"/>
    <n v="6.32"/>
    <x v="0"/>
    <x v="1"/>
    <n v="5.8"/>
    <x v="0"/>
    <m/>
    <m/>
    <m/>
    <m/>
    <m/>
    <m/>
    <m/>
    <m/>
  </r>
  <r>
    <x v="316"/>
    <x v="9"/>
    <x v="58"/>
    <n v="10012"/>
    <s v="Female"/>
    <n v="22"/>
    <x v="9"/>
    <s v="Bur Dubai"/>
    <n v="20"/>
    <n v="7.23"/>
    <x v="1"/>
    <x v="2"/>
    <n v="9"/>
    <x v="3"/>
    <m/>
    <m/>
    <m/>
    <m/>
    <m/>
    <m/>
    <m/>
    <m/>
  </r>
  <r>
    <x v="317"/>
    <x v="0"/>
    <x v="16"/>
    <n v="10227"/>
    <s v="Female"/>
    <n v="48"/>
    <x v="8"/>
    <s v="JLT"/>
    <n v="44"/>
    <n v="4.08"/>
    <x v="0"/>
    <x v="1"/>
    <n v="11.8"/>
    <x v="1"/>
    <m/>
    <m/>
    <m/>
    <m/>
    <m/>
    <m/>
    <m/>
    <m/>
  </r>
  <r>
    <x v="318"/>
    <x v="7"/>
    <x v="209"/>
    <n v="10471"/>
    <s v="Male"/>
    <n v="41"/>
    <x v="3"/>
    <s v="Jumeirah"/>
    <n v="23"/>
    <n v="12.74"/>
    <x v="0"/>
    <x v="2"/>
    <n v="7.6"/>
    <x v="0"/>
    <m/>
    <m/>
    <m/>
    <m/>
    <m/>
    <m/>
    <m/>
    <m/>
  </r>
  <r>
    <x v="319"/>
    <x v="2"/>
    <x v="210"/>
    <n v="10109"/>
    <s v="Male"/>
    <n v="34"/>
    <x v="8"/>
    <s v="Al Barsha"/>
    <n v="18"/>
    <n v="4.3600000000000003"/>
    <x v="0"/>
    <x v="0"/>
    <n v="6.6"/>
    <x v="3"/>
    <m/>
    <m/>
    <m/>
    <m/>
    <m/>
    <m/>
    <m/>
    <m/>
  </r>
  <r>
    <x v="320"/>
    <x v="6"/>
    <x v="211"/>
    <n v="10001"/>
    <s v="Female"/>
    <n v="43"/>
    <x v="10"/>
    <s v="JLT"/>
    <n v="26"/>
    <n v="5.61"/>
    <x v="1"/>
    <x v="2"/>
    <n v="10.199999999999999"/>
    <x v="2"/>
    <m/>
    <m/>
    <m/>
    <m/>
    <m/>
    <m/>
    <m/>
    <m/>
  </r>
  <r>
    <x v="321"/>
    <x v="2"/>
    <x v="168"/>
    <n v="10426"/>
    <s v="Male"/>
    <n v="38"/>
    <x v="7"/>
    <s v="Deira"/>
    <n v="52"/>
    <n v="1.32"/>
    <x v="1"/>
    <x v="2"/>
    <n v="15.4"/>
    <x v="1"/>
    <m/>
    <m/>
    <m/>
    <m/>
    <m/>
    <m/>
    <m/>
    <m/>
  </r>
  <r>
    <x v="322"/>
    <x v="0"/>
    <x v="152"/>
    <n v="10460"/>
    <s v="Female"/>
    <n v="39"/>
    <x v="9"/>
    <s v="Bur Dubai"/>
    <n v="49"/>
    <n v="1.34"/>
    <x v="1"/>
    <x v="0"/>
    <n v="14.8"/>
    <x v="2"/>
    <m/>
    <m/>
    <m/>
    <m/>
    <m/>
    <m/>
    <m/>
    <m/>
  </r>
  <r>
    <x v="323"/>
    <x v="9"/>
    <x v="212"/>
    <n v="10110"/>
    <s v="Male"/>
    <n v="46"/>
    <x v="9"/>
    <s v="City Walk"/>
    <n v="6"/>
    <n v="10.97"/>
    <x v="1"/>
    <x v="0"/>
    <n v="6.2"/>
    <x v="3"/>
    <m/>
    <m/>
    <m/>
    <m/>
    <m/>
    <m/>
    <m/>
    <m/>
  </r>
  <r>
    <x v="324"/>
    <x v="0"/>
    <x v="213"/>
    <n v="10477"/>
    <s v="Male"/>
    <n v="32"/>
    <x v="2"/>
    <s v="Al Barsha"/>
    <n v="50"/>
    <n v="10.98"/>
    <x v="0"/>
    <x v="1"/>
    <n v="13"/>
    <x v="1"/>
    <m/>
    <m/>
    <m/>
    <m/>
    <m/>
    <m/>
    <m/>
    <m/>
  </r>
  <r>
    <x v="325"/>
    <x v="0"/>
    <x v="81"/>
    <n v="10128"/>
    <s v="Female"/>
    <n v="32"/>
    <x v="1"/>
    <s v="Dubai Marina"/>
    <n v="31"/>
    <n v="7.48"/>
    <x v="0"/>
    <x v="2"/>
    <n v="9.1999999999999993"/>
    <x v="3"/>
    <m/>
    <m/>
    <m/>
    <m/>
    <m/>
    <m/>
    <m/>
    <m/>
  </r>
  <r>
    <x v="326"/>
    <x v="7"/>
    <x v="172"/>
    <n v="10217"/>
    <s v="Female"/>
    <n v="49"/>
    <x v="9"/>
    <s v="Palm Jumeirah"/>
    <n v="59"/>
    <n v="14.47"/>
    <x v="0"/>
    <x v="2"/>
    <n v="14.8"/>
    <x v="2"/>
    <m/>
    <m/>
    <m/>
    <m/>
    <m/>
    <m/>
    <m/>
    <m/>
  </r>
  <r>
    <x v="327"/>
    <x v="6"/>
    <x v="14"/>
    <n v="10052"/>
    <s v="Male"/>
    <n v="23"/>
    <x v="1"/>
    <s v="Business Bay"/>
    <n v="53"/>
    <n v="7.54"/>
    <x v="0"/>
    <x v="1"/>
    <n v="13.6"/>
    <x v="3"/>
    <m/>
    <m/>
    <m/>
    <m/>
    <m/>
    <m/>
    <m/>
    <m/>
  </r>
  <r>
    <x v="328"/>
    <x v="4"/>
    <x v="4"/>
    <n v="10241"/>
    <s v="Female"/>
    <n v="38"/>
    <x v="9"/>
    <s v="Business Bay"/>
    <n v="9"/>
    <n v="9.9700000000000006"/>
    <x v="1"/>
    <x v="2"/>
    <n v="6.8"/>
    <x v="1"/>
    <m/>
    <m/>
    <m/>
    <m/>
    <m/>
    <m/>
    <m/>
    <m/>
  </r>
  <r>
    <x v="329"/>
    <x v="0"/>
    <x v="0"/>
    <n v="10473"/>
    <s v="Female"/>
    <n v="55"/>
    <x v="7"/>
    <s v="Bur Dubai"/>
    <n v="58"/>
    <n v="9.3699999999999992"/>
    <x v="1"/>
    <x v="1"/>
    <n v="16.600000000000001"/>
    <x v="1"/>
    <m/>
    <m/>
    <m/>
    <m/>
    <m/>
    <m/>
    <m/>
    <m/>
  </r>
  <r>
    <x v="330"/>
    <x v="8"/>
    <x v="122"/>
    <n v="10406"/>
    <s v="Female"/>
    <n v="44"/>
    <x v="10"/>
    <s v="JLT"/>
    <n v="13"/>
    <n v="7.77"/>
    <x v="1"/>
    <x v="2"/>
    <n v="7.6"/>
    <x v="2"/>
    <m/>
    <m/>
    <m/>
    <m/>
    <m/>
    <m/>
    <m/>
    <m/>
  </r>
  <r>
    <x v="331"/>
    <x v="5"/>
    <x v="57"/>
    <n v="10402"/>
    <s v="Male"/>
    <n v="22"/>
    <x v="3"/>
    <s v="Silicon Oasis"/>
    <n v="40"/>
    <n v="4.92"/>
    <x v="0"/>
    <x v="1"/>
    <n v="11"/>
    <x v="2"/>
    <m/>
    <m/>
    <m/>
    <m/>
    <m/>
    <m/>
    <m/>
    <m/>
  </r>
  <r>
    <x v="332"/>
    <x v="1"/>
    <x v="214"/>
    <n v="10004"/>
    <s v="Male"/>
    <n v="54"/>
    <x v="11"/>
    <s v="Silicon Oasis"/>
    <n v="38"/>
    <n v="12.06"/>
    <x v="1"/>
    <x v="1"/>
    <n v="12.6"/>
    <x v="3"/>
    <m/>
    <m/>
    <m/>
    <m/>
    <m/>
    <m/>
    <m/>
    <m/>
  </r>
  <r>
    <x v="333"/>
    <x v="10"/>
    <x v="160"/>
    <n v="10496"/>
    <s v="Male"/>
    <n v="42"/>
    <x v="11"/>
    <s v="Al Barsha"/>
    <n v="37"/>
    <n v="9.08"/>
    <x v="1"/>
    <x v="2"/>
    <n v="12.4"/>
    <x v="2"/>
    <m/>
    <m/>
    <m/>
    <m/>
    <m/>
    <m/>
    <m/>
    <m/>
  </r>
  <r>
    <x v="334"/>
    <x v="11"/>
    <x v="95"/>
    <n v="10441"/>
    <s v="Male"/>
    <n v="32"/>
    <x v="4"/>
    <s v="Business Bay"/>
    <n v="41"/>
    <n v="13.26"/>
    <x v="0"/>
    <x v="2"/>
    <n v="11.2"/>
    <x v="2"/>
    <m/>
    <m/>
    <m/>
    <m/>
    <m/>
    <m/>
    <m/>
    <m/>
  </r>
  <r>
    <x v="335"/>
    <x v="2"/>
    <x v="210"/>
    <n v="10176"/>
    <s v="Female"/>
    <n v="51"/>
    <x v="7"/>
    <s v="Business Bay"/>
    <n v="57"/>
    <n v="13.2"/>
    <x v="1"/>
    <x v="1"/>
    <n v="16.399999999999999"/>
    <x v="1"/>
    <m/>
    <m/>
    <m/>
    <m/>
    <m/>
    <m/>
    <m/>
    <m/>
  </r>
  <r>
    <x v="336"/>
    <x v="7"/>
    <x v="215"/>
    <n v="10017"/>
    <s v="Female"/>
    <n v="31"/>
    <x v="2"/>
    <s v="Jumeirah"/>
    <n v="36"/>
    <n v="14.6"/>
    <x v="0"/>
    <x v="2"/>
    <n v="10.199999999999999"/>
    <x v="3"/>
    <m/>
    <m/>
    <m/>
    <m/>
    <m/>
    <m/>
    <m/>
    <m/>
  </r>
  <r>
    <x v="337"/>
    <x v="11"/>
    <x v="121"/>
    <n v="10107"/>
    <s v="Female"/>
    <n v="45"/>
    <x v="1"/>
    <s v="Business Bay"/>
    <n v="14"/>
    <n v="2.37"/>
    <x v="1"/>
    <x v="2"/>
    <n v="7.8"/>
    <x v="0"/>
    <m/>
    <m/>
    <m/>
    <m/>
    <m/>
    <m/>
    <m/>
    <m/>
  </r>
  <r>
    <x v="338"/>
    <x v="6"/>
    <x v="189"/>
    <n v="10199"/>
    <s v="Male"/>
    <n v="52"/>
    <x v="2"/>
    <s v="Silicon Oasis"/>
    <n v="35"/>
    <n v="7.82"/>
    <x v="1"/>
    <x v="2"/>
    <n v="12"/>
    <x v="2"/>
    <m/>
    <m/>
    <m/>
    <m/>
    <m/>
    <m/>
    <m/>
    <m/>
  </r>
  <r>
    <x v="339"/>
    <x v="1"/>
    <x v="216"/>
    <n v="10311"/>
    <s v="Male"/>
    <n v="37"/>
    <x v="5"/>
    <s v="Dubai Marina"/>
    <n v="45"/>
    <n v="1.39"/>
    <x v="1"/>
    <x v="2"/>
    <n v="14"/>
    <x v="2"/>
    <m/>
    <m/>
    <m/>
    <m/>
    <m/>
    <m/>
    <m/>
    <m/>
  </r>
  <r>
    <x v="340"/>
    <x v="2"/>
    <x v="210"/>
    <n v="10333"/>
    <s v="Male"/>
    <n v="31"/>
    <x v="4"/>
    <s v="City Walk"/>
    <n v="7"/>
    <n v="3.81"/>
    <x v="0"/>
    <x v="0"/>
    <n v="4.4000000000000004"/>
    <x v="1"/>
    <m/>
    <m/>
    <m/>
    <m/>
    <m/>
    <m/>
    <m/>
    <m/>
  </r>
  <r>
    <x v="341"/>
    <x v="8"/>
    <x v="47"/>
    <n v="10418"/>
    <s v="Male"/>
    <n v="53"/>
    <x v="7"/>
    <s v="Karama"/>
    <n v="29"/>
    <n v="13.68"/>
    <x v="1"/>
    <x v="1"/>
    <n v="10.8"/>
    <x v="2"/>
    <m/>
    <m/>
    <m/>
    <m/>
    <m/>
    <m/>
    <m/>
    <m/>
  </r>
  <r>
    <x v="342"/>
    <x v="2"/>
    <x v="2"/>
    <n v="10356"/>
    <s v="Female"/>
    <n v="36"/>
    <x v="3"/>
    <s v="Dubai Marina"/>
    <n v="26"/>
    <n v="6.73"/>
    <x v="0"/>
    <x v="0"/>
    <n v="8.1999999999999993"/>
    <x v="2"/>
    <m/>
    <m/>
    <m/>
    <m/>
    <m/>
    <m/>
    <m/>
    <m/>
  </r>
  <r>
    <x v="343"/>
    <x v="1"/>
    <x v="217"/>
    <n v="10119"/>
    <s v="Female"/>
    <n v="34"/>
    <x v="5"/>
    <s v="Business Bay"/>
    <n v="23"/>
    <n v="14.41"/>
    <x v="1"/>
    <x v="0"/>
    <n v="9.6"/>
    <x v="0"/>
    <m/>
    <m/>
    <m/>
    <m/>
    <m/>
    <m/>
    <m/>
    <m/>
  </r>
  <r>
    <x v="344"/>
    <x v="0"/>
    <x v="218"/>
    <n v="10351"/>
    <s v="Male"/>
    <n v="36"/>
    <x v="5"/>
    <s v="Palm Jumeirah"/>
    <n v="56"/>
    <n v="8.4499999999999993"/>
    <x v="0"/>
    <x v="1"/>
    <n v="14.2"/>
    <x v="0"/>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205695-87D1-4104-BEBB-6F093C9AD69C}"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40:B45" firstHeaderRow="1" firstDataRow="1" firstDataCol="1"/>
  <pivotFields count="23">
    <pivotField showAll="0">
      <items count="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showAll="0">
      <items count="13">
        <item x="11"/>
        <item x="3"/>
        <item x="9"/>
        <item x="0"/>
        <item x="2"/>
        <item x="8"/>
        <item x="10"/>
        <item x="1"/>
        <item x="6"/>
        <item x="7"/>
        <item x="4"/>
        <item x="5"/>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13">
        <item x="8"/>
        <item x="2"/>
        <item x="4"/>
        <item x="6"/>
        <item x="11"/>
        <item x="9"/>
        <item x="3"/>
        <item x="1"/>
        <item x="7"/>
        <item x="10"/>
        <item x="5"/>
        <item x="0"/>
        <item t="default"/>
      </items>
    </pivotField>
    <pivotField showAll="0"/>
    <pivotField showAll="0"/>
    <pivotField showAll="0"/>
    <pivotField showAll="0">
      <items count="3">
        <item h="1" x="1"/>
        <item x="0"/>
        <item t="default"/>
      </items>
    </pivotField>
    <pivotField showAll="0">
      <items count="4">
        <item h="1" x="2"/>
        <item h="1" x="1"/>
        <item x="0"/>
        <item t="default"/>
      </items>
    </pivotField>
    <pivotField dataField="1"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5">
    <i>
      <x/>
    </i>
    <i>
      <x v="2"/>
    </i>
    <i>
      <x v="3"/>
    </i>
    <i>
      <x v="1"/>
    </i>
    <i t="grand">
      <x/>
    </i>
  </rowItems>
  <colItems count="1">
    <i/>
  </colItems>
  <dataFields count="1">
    <dataField name="Sum of Ride Cost (AED)" fld="12" baseField="0" baseItem="0"/>
  </dataFields>
  <formats count="1">
    <format dxfId="24">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7D89CB-AC08-40F6-82FB-E43AFBD9516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S19:T32" firstHeaderRow="1" firstDataRow="1" firstDataCol="1"/>
  <pivotFields count="23">
    <pivotField dataField="1" showAll="0">
      <items count="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showAll="0">
      <items count="13">
        <item x="11"/>
        <item x="3"/>
        <item x="9"/>
        <item x="0"/>
        <item x="2"/>
        <item x="8"/>
        <item x="10"/>
        <item x="1"/>
        <item x="6"/>
        <item x="7"/>
        <item x="4"/>
        <item x="5"/>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13">
        <item x="8"/>
        <item x="2"/>
        <item x="4"/>
        <item x="6"/>
        <item x="11"/>
        <item x="9"/>
        <item x="3"/>
        <item x="1"/>
        <item x="7"/>
        <item x="10"/>
        <item x="5"/>
        <item x="0"/>
        <item t="default"/>
      </items>
    </pivotField>
    <pivotField showAll="0"/>
    <pivotField showAll="0"/>
    <pivotField showAll="0"/>
    <pivotField showAll="0">
      <items count="3">
        <item h="1" x="1"/>
        <item x="0"/>
        <item t="default"/>
      </items>
    </pivotField>
    <pivotField showAll="0">
      <items count="4">
        <item h="1" x="2"/>
        <item h="1" x="1"/>
        <item x="0"/>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22"/>
  </rowFields>
  <rowItems count="13">
    <i>
      <x v="11"/>
    </i>
    <i>
      <x v="10"/>
    </i>
    <i>
      <x v="4"/>
    </i>
    <i>
      <x v="1"/>
    </i>
    <i>
      <x v="5"/>
    </i>
    <i>
      <x v="6"/>
    </i>
    <i>
      <x v="12"/>
    </i>
    <i>
      <x v="2"/>
    </i>
    <i>
      <x v="7"/>
    </i>
    <i>
      <x v="9"/>
    </i>
    <i>
      <x v="3"/>
    </i>
    <i>
      <x v="8"/>
    </i>
    <i t="grand">
      <x/>
    </i>
  </rowItems>
  <colItems count="1">
    <i/>
  </colItems>
  <dataFields count="1">
    <dataField name="Count of Ride ID" fld="0" subtotal="count" baseField="22" baseItem="1"/>
  </dataFields>
  <formats count="1">
    <format dxfId="25">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9464C6-0946-4AC4-8065-0A1932C2D65B}"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10:C11" firstHeaderRow="1" firstDataRow="1" firstDataCol="0"/>
  <pivotFields count="23">
    <pivotField showAll="0">
      <items count="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3">
        <item h="1" x="1"/>
        <item x="0"/>
        <item t="default"/>
      </items>
    </pivotField>
    <pivotField showAll="0">
      <items count="4">
        <item h="1" x="2"/>
        <item h="1" x="1"/>
        <item x="0"/>
        <item t="default"/>
      </items>
    </pivotField>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ide Cost (AED)" fld="12"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E62B55-43BF-45A9-94E8-D116BD9A8D2E}"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0:G11" firstHeaderRow="1" firstDataRow="1" firstDataCol="0"/>
  <pivotFields count="23">
    <pivotField showAll="0">
      <items count="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dataField="1" showAll="0"/>
    <pivotField showAll="0">
      <items count="3">
        <item h="1" x="1"/>
        <item x="0"/>
        <item t="default"/>
      </items>
    </pivotField>
    <pivotField showAll="0">
      <items count="4">
        <item h="1" x="2"/>
        <item h="1" x="1"/>
        <item x="0"/>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Distance (KM)" fld="9" subtotal="average" baseField="0" baseItem="9" numFmtId="2"/>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899BEC-46A3-40AF-8DEB-F0F894D4A1E3}"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E19:G24" firstHeaderRow="0" firstDataRow="1" firstDataCol="1"/>
  <pivotFields count="23">
    <pivotField dataField="1" showAll="0">
      <items count="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3">
        <item h="1" x="1"/>
        <item x="0"/>
        <item t="default"/>
      </items>
    </pivotField>
    <pivotField showAll="0">
      <items count="4">
        <item h="1" x="2"/>
        <item h="1" x="1"/>
        <item x="0"/>
        <item t="default"/>
      </items>
    </pivotField>
    <pivotField dataField="1"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3"/>
  </rowFields>
  <rowItems count="5">
    <i>
      <x/>
    </i>
    <i>
      <x v="1"/>
    </i>
    <i>
      <x v="2"/>
    </i>
    <i>
      <x v="3"/>
    </i>
    <i t="grand">
      <x/>
    </i>
  </rowItems>
  <colFields count="1">
    <field x="-2"/>
  </colFields>
  <colItems count="2">
    <i>
      <x/>
    </i>
    <i i="1">
      <x v="1"/>
    </i>
  </colItems>
  <dataFields count="2">
    <dataField name="Count of Ride ID" fld="0" subtotal="count" baseField="13" baseItem="0"/>
    <dataField name="Sum of Ride Cost (AED)" fld="12" baseField="0" baseItem="0"/>
  </dataFields>
  <chartFormats count="20">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3" count="1" selected="0">
            <x v="0"/>
          </reference>
        </references>
      </pivotArea>
    </chartFormat>
    <chartFormat chart="3" format="16">
      <pivotArea type="data" outline="0" fieldPosition="0">
        <references count="2">
          <reference field="4294967294" count="1" selected="0">
            <x v="0"/>
          </reference>
          <reference field="13" count="1" selected="0">
            <x v="1"/>
          </reference>
        </references>
      </pivotArea>
    </chartFormat>
    <chartFormat chart="3" format="17">
      <pivotArea type="data" outline="0" fieldPosition="0">
        <references count="2">
          <reference field="4294967294" count="1" selected="0">
            <x v="0"/>
          </reference>
          <reference field="13" count="1" selected="0">
            <x v="2"/>
          </reference>
        </references>
      </pivotArea>
    </chartFormat>
    <chartFormat chart="3" format="18">
      <pivotArea type="data" outline="0" fieldPosition="0">
        <references count="2">
          <reference field="4294967294" count="1" selected="0">
            <x v="0"/>
          </reference>
          <reference field="13" count="1" selected="0">
            <x v="3"/>
          </reference>
        </references>
      </pivotArea>
    </chartFormat>
    <chartFormat chart="3" format="19" series="1">
      <pivotArea type="data" outline="0" fieldPosition="0">
        <references count="1">
          <reference field="4294967294" count="1" selected="0">
            <x v="1"/>
          </reference>
        </references>
      </pivotArea>
    </chartFormat>
    <chartFormat chart="3" format="20">
      <pivotArea type="data" outline="0" fieldPosition="0">
        <references count="2">
          <reference field="4294967294" count="1" selected="0">
            <x v="1"/>
          </reference>
          <reference field="13" count="1" selected="0">
            <x v="0"/>
          </reference>
        </references>
      </pivotArea>
    </chartFormat>
    <chartFormat chart="3" format="21">
      <pivotArea type="data" outline="0" fieldPosition="0">
        <references count="2">
          <reference field="4294967294" count="1" selected="0">
            <x v="1"/>
          </reference>
          <reference field="13" count="1" selected="0">
            <x v="1"/>
          </reference>
        </references>
      </pivotArea>
    </chartFormat>
    <chartFormat chart="3" format="22">
      <pivotArea type="data" outline="0" fieldPosition="0">
        <references count="2">
          <reference field="4294967294" count="1" selected="0">
            <x v="1"/>
          </reference>
          <reference field="13" count="1" selected="0">
            <x v="2"/>
          </reference>
        </references>
      </pivotArea>
    </chartFormat>
    <chartFormat chart="3" format="23">
      <pivotArea type="data" outline="0" fieldPosition="0">
        <references count="2">
          <reference field="4294967294" count="1" selected="0">
            <x v="1"/>
          </reference>
          <reference field="13" count="1" selected="0">
            <x v="3"/>
          </reference>
        </references>
      </pivotArea>
    </chartFormat>
    <chartFormat chart="1" format="4">
      <pivotArea type="data" outline="0" fieldPosition="0">
        <references count="2">
          <reference field="4294967294" count="1" selected="0">
            <x v="0"/>
          </reference>
          <reference field="13" count="1" selected="0">
            <x v="0"/>
          </reference>
        </references>
      </pivotArea>
    </chartFormat>
    <chartFormat chart="1" format="5">
      <pivotArea type="data" outline="0" fieldPosition="0">
        <references count="2">
          <reference field="4294967294" count="1" selected="0">
            <x v="0"/>
          </reference>
          <reference field="13" count="1" selected="0">
            <x v="1"/>
          </reference>
        </references>
      </pivotArea>
    </chartFormat>
    <chartFormat chart="1" format="6">
      <pivotArea type="data" outline="0" fieldPosition="0">
        <references count="2">
          <reference field="4294967294" count="1" selected="0">
            <x v="0"/>
          </reference>
          <reference field="13" count="1" selected="0">
            <x v="2"/>
          </reference>
        </references>
      </pivotArea>
    </chartFormat>
    <chartFormat chart="1" format="7">
      <pivotArea type="data" outline="0" fieldPosition="0">
        <references count="2">
          <reference field="4294967294" count="1" selected="0">
            <x v="0"/>
          </reference>
          <reference field="13" count="1" selected="0">
            <x v="3"/>
          </reference>
        </references>
      </pivotArea>
    </chartFormat>
    <chartFormat chart="1" format="8">
      <pivotArea type="data" outline="0" fieldPosition="0">
        <references count="2">
          <reference field="4294967294" count="1" selected="0">
            <x v="1"/>
          </reference>
          <reference field="13" count="1" selected="0">
            <x v="0"/>
          </reference>
        </references>
      </pivotArea>
    </chartFormat>
    <chartFormat chart="1" format="9">
      <pivotArea type="data" outline="0" fieldPosition="0">
        <references count="2">
          <reference field="4294967294" count="1" selected="0">
            <x v="1"/>
          </reference>
          <reference field="13" count="1" selected="0">
            <x v="1"/>
          </reference>
        </references>
      </pivotArea>
    </chartFormat>
    <chartFormat chart="1" format="10">
      <pivotArea type="data" outline="0" fieldPosition="0">
        <references count="2">
          <reference field="4294967294" count="1" selected="0">
            <x v="1"/>
          </reference>
          <reference field="13" count="1" selected="0">
            <x v="2"/>
          </reference>
        </references>
      </pivotArea>
    </chartFormat>
    <chartFormat chart="1" format="11">
      <pivotArea type="data" outline="0" fieldPosition="0">
        <references count="2">
          <reference field="4294967294" count="1" selected="0">
            <x v="1"/>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7A93E8-FF8E-4DFE-A677-8B63E5A1CF1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0:A11" firstHeaderRow="1" firstDataRow="1" firstDataCol="0"/>
  <pivotFields count="23">
    <pivotField dataField="1" showAll="0">
      <items count="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3">
        <item h="1" x="1"/>
        <item x="0"/>
        <item t="default"/>
      </items>
    </pivotField>
    <pivotField showAll="0">
      <items count="4">
        <item h="1" x="2"/>
        <item h="1" x="1"/>
        <item x="0"/>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Ride ID" fld="0" subtotal="count" baseField="0" baseItem="206855160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839D35-C21A-4BFE-8C03-FCA4600C1D32}"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10:E11" firstHeaderRow="1" firstDataRow="1" firstDataCol="0"/>
  <pivotFields count="23">
    <pivotField showAll="0">
      <items count="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pivotField showAll="0"/>
    <pivotField showAll="0">
      <items count="3">
        <item h="1" x="1"/>
        <item x="0"/>
        <item t="default"/>
      </items>
    </pivotField>
    <pivotField showAll="0">
      <items count="4">
        <item h="1" x="2"/>
        <item h="1" x="1"/>
        <item x="0"/>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ide Duration (Minutes)" fld="8" subtotal="average" baseField="0" baseItem="9" numFmtId="2"/>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E9576A-05E7-471C-BF26-E8D56C4B966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9:C21" firstHeaderRow="0" firstDataRow="1" firstDataCol="1"/>
  <pivotFields count="23">
    <pivotField dataField="1" showAll="0">
      <items count="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axis="axisRow" showAll="0">
      <items count="3">
        <item h="1" x="1"/>
        <item x="0"/>
        <item t="default"/>
      </items>
    </pivotField>
    <pivotField showAll="0">
      <items count="4">
        <item h="1" x="2"/>
        <item h="1" x="1"/>
        <item x="0"/>
        <item t="default"/>
      </items>
    </pivotField>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0"/>
  </rowFields>
  <rowItems count="2">
    <i>
      <x v="1"/>
    </i>
    <i t="grand">
      <x/>
    </i>
  </rowItems>
  <colFields count="1">
    <field x="-2"/>
  </colFields>
  <colItems count="2">
    <i>
      <x/>
    </i>
    <i i="1">
      <x v="1"/>
    </i>
  </colItems>
  <dataFields count="2">
    <dataField name="Count of Ride ID" fld="0" subtotal="count" baseField="10" baseItem="0"/>
    <dataField name="Sum of Ride Cost (AED)" fld="1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622EF8-F41F-4B63-8312-B8615FFCFFAA}"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N19:P32" firstHeaderRow="0" firstDataRow="1" firstDataCol="1"/>
  <pivotFields count="23">
    <pivotField dataField="1" showAll="0">
      <items count="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3">
        <item h="1" x="1"/>
        <item x="0"/>
        <item t="default"/>
      </items>
    </pivotField>
    <pivotField showAll="0">
      <items count="4">
        <item h="1" x="2"/>
        <item h="1" x="1"/>
        <item x="0"/>
        <item t="default"/>
      </items>
    </pivotField>
    <pivotField dataField="1"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ide Cost (AED)" fld="12" baseField="0" baseItem="0"/>
    <dataField name="Count of Ride ID" fld="0" subtotal="count" baseField="22" baseItem="1"/>
  </dataFields>
  <formats count="1">
    <format dxfId="28">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FAD797-E4BE-4B3B-AFB1-D451620A3556}"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I19:K21" firstHeaderRow="0" firstDataRow="1" firstDataCol="1"/>
  <pivotFields count="23">
    <pivotField dataField="1" showAll="0">
      <items count="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3">
        <item h="1" x="1"/>
        <item x="0"/>
        <item t="default"/>
      </items>
    </pivotField>
    <pivotField axis="axisRow" showAll="0">
      <items count="4">
        <item h="1" x="2"/>
        <item h="1" x="1"/>
        <item x="0"/>
        <item t="default"/>
      </items>
    </pivotField>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1"/>
  </rowFields>
  <rowItems count="2">
    <i>
      <x v="2"/>
    </i>
    <i t="grand">
      <x/>
    </i>
  </rowItems>
  <colFields count="1">
    <field x="-2"/>
  </colFields>
  <colItems count="2">
    <i>
      <x/>
    </i>
    <i i="1">
      <x v="1"/>
    </i>
  </colItems>
  <dataFields count="2">
    <dataField name="Count of Ride ID" fld="0" subtotal="count" baseField="11" baseItem="0"/>
    <dataField name="Sum of Ride Cost (AED)" fld="12" baseField="0" baseItem="0"/>
  </dataFields>
  <formats count="1">
    <format dxfId="2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573BAD-AEDD-46B0-ACE7-1D815A03177A}" autoFormatId="16" applyNumberFormats="0" applyBorderFormats="0" applyFontFormats="0" applyPatternFormats="0" applyAlignmentFormats="0" applyWidthHeightFormats="0">
  <queryTableRefresh nextId="25" unboundColumnsRight="8">
    <queryTableFields count="22">
      <queryTableField id="1" name="Ride ID" tableColumnId="1"/>
      <queryTableField id="14" name="Month Name" tableColumnId="14"/>
      <queryTableField id="2" name="Ride Date" tableColumnId="2"/>
      <queryTableField id="3" name="User ID" tableColumnId="3"/>
      <queryTableField id="4" name="User Gender" tableColumnId="4"/>
      <queryTableField id="5" name="User Age" tableColumnId="5"/>
      <queryTableField id="6" name="Pickup Station" tableColumnId="6"/>
      <queryTableField id="7" name="Drop Station" tableColumnId="7"/>
      <queryTableField id="8" name="Ride Duration (Minutes)" tableColumnId="8"/>
      <queryTableField id="9" name="Distance (KM)" tableColumnId="9"/>
      <queryTableField id="10" name="Ride Type" tableColumnId="10"/>
      <queryTableField id="11" name="Payment Method" tableColumnId="11"/>
      <queryTableField id="12" name="Ride Cost (AED)" tableColumnId="12"/>
      <queryTableField id="13" name="Subscription Type" tableColumnId="13"/>
      <queryTableField id="16" dataBound="0" tableColumnId="15"/>
      <queryTableField id="17" dataBound="0" tableColumnId="16"/>
      <queryTableField id="18" dataBound="0" tableColumnId="17"/>
      <queryTableField id="19" dataBound="0" tableColumnId="18"/>
      <queryTableField id="20" dataBound="0" tableColumnId="19"/>
      <queryTableField id="21" dataBound="0" tableColumnId="20"/>
      <queryTableField id="22" dataBound="0" tableColumnId="21"/>
      <queryTableField id="24"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de_Type" xr10:uid="{6211F29D-2E76-4520-AE0B-DB00BF46BAE6}" sourceName="Ride Typ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s>
  <data>
    <tabular pivotCacheId="691414527">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732AE38-B50C-4DA3-8EFF-0D1F6EE25D6B}" sourceName="Payment Method">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s>
  <data>
    <tabular pivotCacheId="691414527">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de Type" xr10:uid="{D8E9DE43-ACC1-4B23-AE03-D1FD6D7E9452}" cache="Slicer_Ride_Type" caption="Ride Type" rowHeight="241300"/>
  <slicer name="Payment Method" xr10:uid="{B1C8C7AE-ED35-4AB1-9C83-0E96B3003167}" cache="Slicer_Payment_Method" caption="Payment Meth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de Type 1" xr10:uid="{5F0A4D44-1D79-426A-B39C-26999E5FC437}" cache="Slicer_Ride_Type" caption="Ride Type" style="SlicerStyleLight6" rowHeight="241300"/>
  <slicer name="Payment Method 1" xr10:uid="{A20F6BF9-E1DB-4BFE-BC2B-6DA07E0B9CDE}" cache="Slicer_Payment_Method" caption="Payment Method"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10466F-6BCF-494E-A00E-A4804C6255A1}" name="Careem_Bike_Data" displayName="Careem_Bike_Data" ref="A1:V346" tableType="queryTable" totalsRowShown="0" headerRowDxfId="23" dataDxfId="22">
  <autoFilter ref="A1:V346" xr:uid="{1B10466F-6BCF-494E-A00E-A4804C6255A1}"/>
  <tableColumns count="22">
    <tableColumn id="1" xr3:uid="{1AD89FAF-6A04-4D90-A994-CE30F5FAB934}" uniqueName="1" name="Ride ID" queryTableFieldId="1" dataDxfId="21"/>
    <tableColumn id="14" xr3:uid="{A2C79DD6-3E9A-4C68-9C1B-492F24296CC1}" uniqueName="14" name="Month Name" queryTableFieldId="14" dataDxfId="20"/>
    <tableColumn id="2" xr3:uid="{F7623A5A-2F22-4F83-9ABB-CFEDF82C0573}" uniqueName="2" name="Ride Date" queryTableFieldId="2" dataDxfId="19"/>
    <tableColumn id="3" xr3:uid="{9A2C9505-3D64-45D2-BD39-88388CC4A8D9}" uniqueName="3" name="User ID" queryTableFieldId="3" dataDxfId="18"/>
    <tableColumn id="4" xr3:uid="{58EF51F5-77A3-45CC-BEA3-6B4D0A32877B}" uniqueName="4" name="User Gender" queryTableFieldId="4" dataDxfId="17"/>
    <tableColumn id="5" xr3:uid="{9EECDEFF-3B93-455C-8431-4A1C2B3523D5}" uniqueName="5" name="User Age" queryTableFieldId="5" dataDxfId="16"/>
    <tableColumn id="6" xr3:uid="{2A779827-84DE-4E20-8A07-B2DB6F21C304}" uniqueName="6" name="Pickup Station" queryTableFieldId="6" dataDxfId="15"/>
    <tableColumn id="7" xr3:uid="{D41EFF76-D587-440D-9F44-B59CA88BBECF}" uniqueName="7" name="Drop Station" queryTableFieldId="7" dataDxfId="14"/>
    <tableColumn id="8" xr3:uid="{48FA2C79-8654-4C01-9A8D-C832936BD53F}" uniqueName="8" name="Ride Duration (Minutes)" queryTableFieldId="8" dataDxfId="13"/>
    <tableColumn id="9" xr3:uid="{5961B1FF-12F8-4618-89E2-01C620AE654D}" uniqueName="9" name="Distance (KM)" queryTableFieldId="9" dataDxfId="12"/>
    <tableColumn id="10" xr3:uid="{A5DA42EE-55F3-4871-8B49-23170D54ABEB}" uniqueName="10" name="Ride Type" queryTableFieldId="10" dataDxfId="11"/>
    <tableColumn id="11" xr3:uid="{49A27B5F-2F91-4CDE-B10C-311DA821AFA3}" uniqueName="11" name="Payment Method" queryTableFieldId="11" dataDxfId="10"/>
    <tableColumn id="12" xr3:uid="{AD421A39-4480-4374-AA3C-0375428A0E7E}" uniqueName="12" name="Ride Cost (AED)" queryTableFieldId="12" dataDxfId="9"/>
    <tableColumn id="13" xr3:uid="{37725088-E09B-475F-A108-911D87B7D01D}" uniqueName="13" name="Subscription Type" queryTableFieldId="13" dataDxfId="8"/>
    <tableColumn id="15" xr3:uid="{C33F86BE-F371-4F8B-BDAD-F33593A6A98F}" uniqueName="15" name="Total Rides" queryTableFieldId="16" dataDxfId="7">
      <calculatedColumnFormula>COUNTA(A:A)</calculatedColumnFormula>
    </tableColumn>
    <tableColumn id="16" xr3:uid="{80B1F20E-3774-4696-91BE-64BAA95B481B}" uniqueName="16" name="Total Cost" queryTableFieldId="17" dataDxfId="6">
      <calculatedColumnFormula>SUM(M:M)</calculatedColumnFormula>
    </tableColumn>
    <tableColumn id="17" xr3:uid="{BBD02DEC-C6F0-43FA-BA56-CFE165FCF5CF}" uniqueName="17" name="Average Cost" queryTableFieldId="18" dataDxfId="5">
      <calculatedColumnFormula>AVERAGE(M:M)</calculatedColumnFormula>
    </tableColumn>
    <tableColumn id="18" xr3:uid="{0B94BC97-8431-42E2-A6AB-D5B062DEA6EC}" uniqueName="18" name="Average Ride" queryTableFieldId="19" dataDxfId="4">
      <calculatedColumnFormula>AVERAGE(I:I)</calculatedColumnFormula>
    </tableColumn>
    <tableColumn id="19" xr3:uid="{427055E7-F5F8-465E-8EE7-E665F27CB1B5}" uniqueName="19" name="Total Male" queryTableFieldId="20" dataDxfId="3"/>
    <tableColumn id="20" xr3:uid="{7EF2F18C-F90D-413E-BB9B-C9822FDD81D0}" uniqueName="20" name="Total Female" queryTableFieldId="21" dataDxfId="2">
      <calculatedColumnFormula>COUNTIF(E:E,"Female")</calculatedColumnFormula>
    </tableColumn>
    <tableColumn id="21" xr3:uid="{AAFA92EC-1984-4F99-9BF3-B0F8EBFCEAA5}" uniqueName="21" name="Regular Bike" queryTableFieldId="22" dataDxfId="1">
      <calculatedColumnFormula>COUNTIF(K:K,"Regular Bike")</calculatedColumnFormula>
    </tableColumn>
    <tableColumn id="22" xr3:uid="{4821AD16-A246-477C-A8F3-9716DDC2BEB5}" uniqueName="22" name="Electric Bike" queryTableFieldId="24" dataDxfId="0">
      <calculatedColumnFormula>COUNTIF(K:K,"Electric Bike")</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5E176-CB87-428D-8300-1C8A189E7C91}">
  <dimension ref="A9:T45"/>
  <sheetViews>
    <sheetView zoomScale="70" zoomScaleNormal="70" workbookViewId="0"/>
  </sheetViews>
  <sheetFormatPr defaultRowHeight="15" x14ac:dyDescent="0.25"/>
  <cols>
    <col min="1" max="1" width="17.85546875" bestFit="1" customWidth="1"/>
    <col min="2" max="3" width="28.5703125" bestFit="1" customWidth="1"/>
    <col min="5" max="5" width="17.85546875" bestFit="1" customWidth="1"/>
    <col min="6" max="6" width="20.140625" bestFit="1" customWidth="1"/>
    <col min="7" max="7" width="28.5703125" bestFit="1" customWidth="1"/>
    <col min="8" max="8" width="20.28515625" bestFit="1" customWidth="1"/>
    <col min="9" max="9" width="17.85546875" bestFit="1" customWidth="1"/>
    <col min="10" max="10" width="20.140625" bestFit="1" customWidth="1"/>
    <col min="11" max="11" width="28.5703125" bestFit="1" customWidth="1"/>
    <col min="14" max="14" width="17.85546875" bestFit="1" customWidth="1"/>
    <col min="15" max="15" width="28.5703125" bestFit="1" customWidth="1"/>
    <col min="16" max="16" width="20.140625" bestFit="1" customWidth="1"/>
    <col min="19" max="19" width="17.85546875" bestFit="1" customWidth="1"/>
    <col min="20" max="20" width="20.140625" bestFit="1" customWidth="1"/>
  </cols>
  <sheetData>
    <row r="9" spans="1:7" x14ac:dyDescent="0.25">
      <c r="A9">
        <f>GETPIVOTDATA("Ride ID",$A$10)</f>
        <v>58</v>
      </c>
      <c r="C9">
        <f>GETPIVOTDATA("Ride Cost (AED)",$C$10)</f>
        <v>591.6</v>
      </c>
      <c r="E9" s="10">
        <f>GETPIVOTDATA("Ride Duration (Minutes)",$E$10)</f>
        <v>36</v>
      </c>
      <c r="G9" s="10">
        <f>GETPIVOTDATA("Distance (KM)",$G$10)</f>
        <v>7.442413793103448</v>
      </c>
    </row>
    <row r="10" spans="1:7" x14ac:dyDescent="0.25">
      <c r="A10" t="s">
        <v>55</v>
      </c>
      <c r="C10" t="s">
        <v>56</v>
      </c>
      <c r="E10" t="s">
        <v>57</v>
      </c>
      <c r="G10" t="s">
        <v>58</v>
      </c>
    </row>
    <row r="11" spans="1:7" x14ac:dyDescent="0.25">
      <c r="A11" s="8">
        <v>58</v>
      </c>
      <c r="C11" s="8">
        <v>591.6</v>
      </c>
      <c r="E11" s="10">
        <v>36</v>
      </c>
      <c r="G11" s="10">
        <v>7.442413793103448</v>
      </c>
    </row>
    <row r="19" spans="1:20" x14ac:dyDescent="0.25">
      <c r="A19" s="9" t="s">
        <v>59</v>
      </c>
      <c r="B19" t="s">
        <v>55</v>
      </c>
      <c r="C19" t="s">
        <v>56</v>
      </c>
      <c r="E19" s="9" t="s">
        <v>59</v>
      </c>
      <c r="F19" t="s">
        <v>55</v>
      </c>
      <c r="G19" t="s">
        <v>56</v>
      </c>
      <c r="I19" s="9" t="s">
        <v>59</v>
      </c>
      <c r="J19" t="s">
        <v>55</v>
      </c>
      <c r="K19" t="s">
        <v>56</v>
      </c>
      <c r="N19" s="9" t="s">
        <v>59</v>
      </c>
      <c r="O19" t="s">
        <v>56</v>
      </c>
      <c r="P19" t="s">
        <v>55</v>
      </c>
      <c r="S19" s="9" t="s">
        <v>59</v>
      </c>
      <c r="T19" t="s">
        <v>55</v>
      </c>
    </row>
    <row r="20" spans="1:20" x14ac:dyDescent="0.25">
      <c r="A20" s="1" t="s">
        <v>16</v>
      </c>
      <c r="B20" s="8">
        <v>58</v>
      </c>
      <c r="C20" s="8">
        <v>591.6</v>
      </c>
      <c r="E20" s="1" t="s">
        <v>18</v>
      </c>
      <c r="F20" s="8">
        <v>18</v>
      </c>
      <c r="G20" s="8">
        <v>190.60000000000002</v>
      </c>
      <c r="I20" s="1" t="s">
        <v>17</v>
      </c>
      <c r="J20" s="10">
        <v>58</v>
      </c>
      <c r="K20" s="10">
        <v>591.6</v>
      </c>
      <c r="N20" s="1" t="s">
        <v>61</v>
      </c>
      <c r="O20" s="10">
        <v>65.8</v>
      </c>
      <c r="P20" s="10">
        <v>6</v>
      </c>
      <c r="S20" s="1" t="s">
        <v>70</v>
      </c>
      <c r="T20" s="10">
        <v>10</v>
      </c>
    </row>
    <row r="21" spans="1:20" x14ac:dyDescent="0.25">
      <c r="A21" s="1" t="s">
        <v>60</v>
      </c>
      <c r="B21" s="8">
        <v>58</v>
      </c>
      <c r="C21" s="8">
        <v>591.6</v>
      </c>
      <c r="E21" s="1" t="s">
        <v>26</v>
      </c>
      <c r="F21" s="8">
        <v>11</v>
      </c>
      <c r="G21" s="8">
        <v>96.8</v>
      </c>
      <c r="I21" s="1" t="s">
        <v>60</v>
      </c>
      <c r="J21" s="10">
        <v>58</v>
      </c>
      <c r="K21" s="10">
        <v>591.6</v>
      </c>
      <c r="N21" s="1" t="s">
        <v>62</v>
      </c>
      <c r="O21" s="10">
        <v>23</v>
      </c>
      <c r="P21" s="10">
        <v>3</v>
      </c>
      <c r="S21" s="1" t="s">
        <v>69</v>
      </c>
      <c r="T21" s="10">
        <v>9</v>
      </c>
    </row>
    <row r="22" spans="1:20" x14ac:dyDescent="0.25">
      <c r="E22" s="1" t="s">
        <v>23</v>
      </c>
      <c r="F22" s="8">
        <v>14</v>
      </c>
      <c r="G22" s="8">
        <v>154.79999999999998</v>
      </c>
      <c r="N22" s="1" t="s">
        <v>63</v>
      </c>
      <c r="O22" s="10">
        <v>8.6</v>
      </c>
      <c r="P22" s="10">
        <v>1</v>
      </c>
      <c r="S22" s="1" t="s">
        <v>64</v>
      </c>
      <c r="T22" s="10">
        <v>9</v>
      </c>
    </row>
    <row r="23" spans="1:20" x14ac:dyDescent="0.25">
      <c r="E23" s="1" t="s">
        <v>30</v>
      </c>
      <c r="F23" s="8">
        <v>15</v>
      </c>
      <c r="G23" s="8">
        <v>149.39999999999998</v>
      </c>
      <c r="N23" s="1" t="s">
        <v>64</v>
      </c>
      <c r="O23" s="10">
        <v>108.60000000000001</v>
      </c>
      <c r="P23" s="10">
        <v>9</v>
      </c>
      <c r="S23" s="1" t="s">
        <v>61</v>
      </c>
      <c r="T23" s="10">
        <v>6</v>
      </c>
    </row>
    <row r="24" spans="1:20" x14ac:dyDescent="0.25">
      <c r="E24" s="1" t="s">
        <v>60</v>
      </c>
      <c r="F24" s="8">
        <v>58</v>
      </c>
      <c r="G24" s="8">
        <v>591.6</v>
      </c>
      <c r="N24" s="1" t="s">
        <v>39</v>
      </c>
      <c r="O24" s="10">
        <v>50.800000000000004</v>
      </c>
      <c r="P24" s="10">
        <v>6</v>
      </c>
      <c r="S24" s="1" t="s">
        <v>39</v>
      </c>
      <c r="T24" s="10">
        <v>6</v>
      </c>
    </row>
    <row r="25" spans="1:20" x14ac:dyDescent="0.25">
      <c r="N25" s="1" t="s">
        <v>65</v>
      </c>
      <c r="O25" s="10">
        <v>46.4</v>
      </c>
      <c r="P25" s="10">
        <v>5</v>
      </c>
      <c r="S25" s="1" t="s">
        <v>65</v>
      </c>
      <c r="T25" s="10">
        <v>5</v>
      </c>
    </row>
    <row r="26" spans="1:20" x14ac:dyDescent="0.25">
      <c r="N26" s="1" t="s">
        <v>66</v>
      </c>
      <c r="O26" s="10">
        <v>38.799999999999997</v>
      </c>
      <c r="P26" s="10">
        <v>3</v>
      </c>
      <c r="S26" s="1" t="s">
        <v>71</v>
      </c>
      <c r="T26" s="10">
        <v>3</v>
      </c>
    </row>
    <row r="27" spans="1:20" x14ac:dyDescent="0.25">
      <c r="N27" s="1" t="s">
        <v>67</v>
      </c>
      <c r="O27" s="10">
        <v>12.8</v>
      </c>
      <c r="P27" s="10">
        <v>1</v>
      </c>
      <c r="S27" s="1" t="s">
        <v>62</v>
      </c>
      <c r="T27" s="10">
        <v>3</v>
      </c>
    </row>
    <row r="28" spans="1:20" x14ac:dyDescent="0.25">
      <c r="N28" s="1" t="s">
        <v>68</v>
      </c>
      <c r="O28" s="10">
        <v>20.2</v>
      </c>
      <c r="P28" s="10">
        <v>2</v>
      </c>
      <c r="S28" s="1" t="s">
        <v>66</v>
      </c>
      <c r="T28" s="10">
        <v>3</v>
      </c>
    </row>
    <row r="29" spans="1:20" x14ac:dyDescent="0.25">
      <c r="N29" s="1" t="s">
        <v>69</v>
      </c>
      <c r="O29" s="10">
        <v>93.8</v>
      </c>
      <c r="P29" s="10">
        <v>9</v>
      </c>
      <c r="S29" s="1" t="s">
        <v>68</v>
      </c>
      <c r="T29" s="10">
        <v>2</v>
      </c>
    </row>
    <row r="30" spans="1:20" x14ac:dyDescent="0.25">
      <c r="N30" s="1" t="s">
        <v>70</v>
      </c>
      <c r="O30" s="10">
        <v>98.600000000000009</v>
      </c>
      <c r="P30" s="10">
        <v>10</v>
      </c>
      <c r="S30" s="1" t="s">
        <v>63</v>
      </c>
      <c r="T30" s="10">
        <v>1</v>
      </c>
    </row>
    <row r="31" spans="1:20" x14ac:dyDescent="0.25">
      <c r="N31" s="1" t="s">
        <v>71</v>
      </c>
      <c r="O31" s="10">
        <v>24.2</v>
      </c>
      <c r="P31" s="10">
        <v>3</v>
      </c>
      <c r="S31" s="1" t="s">
        <v>67</v>
      </c>
      <c r="T31" s="10">
        <v>1</v>
      </c>
    </row>
    <row r="32" spans="1:20" x14ac:dyDescent="0.25">
      <c r="N32" s="1" t="s">
        <v>60</v>
      </c>
      <c r="O32" s="10">
        <v>591.59999999999991</v>
      </c>
      <c r="P32" s="10">
        <v>58</v>
      </c>
      <c r="S32" s="1" t="s">
        <v>60</v>
      </c>
      <c r="T32" s="10">
        <v>58</v>
      </c>
    </row>
    <row r="40" spans="1:2" x14ac:dyDescent="0.25">
      <c r="A40" s="9" t="s">
        <v>59</v>
      </c>
      <c r="B40" t="s">
        <v>56</v>
      </c>
    </row>
    <row r="41" spans="1:2" x14ac:dyDescent="0.25">
      <c r="A41" s="1" t="s">
        <v>18</v>
      </c>
      <c r="B41" s="10">
        <v>190.60000000000002</v>
      </c>
    </row>
    <row r="42" spans="1:2" x14ac:dyDescent="0.25">
      <c r="A42" s="1" t="s">
        <v>23</v>
      </c>
      <c r="B42" s="10">
        <v>154.79999999999998</v>
      </c>
    </row>
    <row r="43" spans="1:2" x14ac:dyDescent="0.25">
      <c r="A43" s="1" t="s">
        <v>30</v>
      </c>
      <c r="B43" s="10">
        <v>149.39999999999998</v>
      </c>
    </row>
    <row r="44" spans="1:2" x14ac:dyDescent="0.25">
      <c r="A44" s="1" t="s">
        <v>26</v>
      </c>
      <c r="B44" s="10">
        <v>96.8</v>
      </c>
    </row>
    <row r="45" spans="1:2" x14ac:dyDescent="0.25">
      <c r="A45" s="1" t="s">
        <v>60</v>
      </c>
      <c r="B45" s="10">
        <v>591.6</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9A826-653B-460D-8400-17E6EA524F50}">
  <dimension ref="A1"/>
  <sheetViews>
    <sheetView tabSelected="1" zoomScale="70" zoomScaleNormal="70" workbookViewId="0">
      <selection activeCell="M38" sqref="M3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E2D46-7F0E-4F0A-919C-FFE55174D3A9}">
  <dimension ref="A1:V621"/>
  <sheetViews>
    <sheetView topLeftCell="C1" workbookViewId="0"/>
  </sheetViews>
  <sheetFormatPr defaultRowHeight="15" x14ac:dyDescent="0.25"/>
  <cols>
    <col min="1" max="1" width="9.5703125" style="1" bestFit="1" customWidth="1"/>
    <col min="2" max="2" width="15" style="1" bestFit="1" customWidth="1"/>
    <col min="3" max="3" width="11.85546875" style="1" bestFit="1" customWidth="1"/>
    <col min="4" max="4" width="12" style="1" bestFit="1" customWidth="1"/>
    <col min="5" max="5" width="16.85546875" style="1" bestFit="1" customWidth="1"/>
    <col min="6" max="6" width="13.5703125" style="1" bestFit="1" customWidth="1"/>
    <col min="7" max="7" width="18.28515625" style="1" bestFit="1" customWidth="1"/>
    <col min="8" max="8" width="16.5703125" style="1" bestFit="1" customWidth="1"/>
    <col min="9" max="9" width="27.42578125" style="1" bestFit="1" customWidth="1"/>
    <col min="10" max="10" width="18.140625" style="1" bestFit="1" customWidth="1"/>
    <col min="11" max="11" width="14.28515625" style="1" bestFit="1" customWidth="1"/>
    <col min="12" max="12" width="21.140625" style="1" bestFit="1" customWidth="1"/>
    <col min="13" max="13" width="19.42578125" style="1" bestFit="1" customWidth="1"/>
    <col min="14" max="14" width="21.42578125" style="1" bestFit="1" customWidth="1"/>
    <col min="15" max="15" width="13" style="1" bestFit="1" customWidth="1"/>
    <col min="16" max="16" width="12" style="1" bestFit="1" customWidth="1"/>
    <col min="17" max="17" width="14.85546875" style="1" bestFit="1" customWidth="1"/>
    <col min="18" max="18" width="15" style="1" bestFit="1" customWidth="1"/>
    <col min="19" max="19" width="12.5703125" style="1" bestFit="1" customWidth="1"/>
    <col min="20" max="20" width="14.7109375" style="1" bestFit="1" customWidth="1"/>
    <col min="21" max="21" width="14.28515625" style="1" bestFit="1" customWidth="1"/>
    <col min="22" max="22" width="14" style="1" bestFit="1" customWidth="1"/>
    <col min="23" max="16384" width="9.140625" style="1"/>
  </cols>
  <sheetData>
    <row r="1" spans="1:22" x14ac:dyDescent="0.25">
      <c r="A1" s="2" t="s">
        <v>0</v>
      </c>
      <c r="B1" s="2" t="s">
        <v>36</v>
      </c>
      <c r="C1" s="2" t="s">
        <v>1</v>
      </c>
      <c r="D1" s="6" t="s">
        <v>2</v>
      </c>
      <c r="E1" s="6" t="s">
        <v>3</v>
      </c>
      <c r="F1" s="6" t="s">
        <v>4</v>
      </c>
      <c r="G1" s="6" t="s">
        <v>5</v>
      </c>
      <c r="H1" s="6" t="s">
        <v>6</v>
      </c>
      <c r="I1" s="6" t="s">
        <v>7</v>
      </c>
      <c r="J1" s="6" t="s">
        <v>8</v>
      </c>
      <c r="K1" s="6" t="s">
        <v>9</v>
      </c>
      <c r="L1" s="6" t="s">
        <v>10</v>
      </c>
      <c r="M1" s="6" t="s">
        <v>11</v>
      </c>
      <c r="N1" s="6" t="s">
        <v>12</v>
      </c>
      <c r="O1" s="2" t="s">
        <v>49</v>
      </c>
      <c r="P1" s="2" t="s">
        <v>50</v>
      </c>
      <c r="Q1" s="2" t="s">
        <v>51</v>
      </c>
      <c r="R1" s="2" t="s">
        <v>52</v>
      </c>
      <c r="S1" s="7" t="s">
        <v>53</v>
      </c>
      <c r="T1" s="2" t="s">
        <v>54</v>
      </c>
      <c r="U1" s="2" t="s">
        <v>16</v>
      </c>
      <c r="V1" s="2" t="s">
        <v>31</v>
      </c>
    </row>
    <row r="2" spans="1:22" x14ac:dyDescent="0.25">
      <c r="A2" s="3">
        <v>2001</v>
      </c>
      <c r="B2" s="4" t="s">
        <v>37</v>
      </c>
      <c r="C2" s="5">
        <v>45389</v>
      </c>
      <c r="D2" s="3">
        <v>10134</v>
      </c>
      <c r="E2" s="4" t="s">
        <v>13</v>
      </c>
      <c r="F2" s="3">
        <v>26</v>
      </c>
      <c r="G2" s="3" t="s">
        <v>14</v>
      </c>
      <c r="H2" s="3" t="s">
        <v>15</v>
      </c>
      <c r="I2" s="3">
        <v>42</v>
      </c>
      <c r="J2" s="3">
        <v>9.27</v>
      </c>
      <c r="K2" s="3" t="s">
        <v>16</v>
      </c>
      <c r="L2" s="4" t="s">
        <v>17</v>
      </c>
      <c r="M2" s="3">
        <v>11.4</v>
      </c>
      <c r="N2" s="3" t="s">
        <v>18</v>
      </c>
      <c r="O2" s="1">
        <f>COUNTA(A:A)</f>
        <v>346</v>
      </c>
      <c r="P2" s="1">
        <f>SUM(M:M)</f>
        <v>3657.5999999999985</v>
      </c>
      <c r="Q2" s="1">
        <f>AVERAGE(M:M)</f>
        <v>10.601739130434778</v>
      </c>
      <c r="R2" s="1">
        <f>AVERAGE(I:I)</f>
        <v>33.428985507246374</v>
      </c>
      <c r="S2" s="1">
        <f>COUNTIF(E:E,"Male")</f>
        <v>158</v>
      </c>
      <c r="T2" s="1">
        <f>COUNTIF(E:E,"Female")</f>
        <v>187</v>
      </c>
      <c r="U2" s="1">
        <f>COUNTIF(K:K,"Regular Bike")</f>
        <v>187</v>
      </c>
      <c r="V2" s="1">
        <f>COUNTIF(K:K,"Electric Bike")</f>
        <v>158</v>
      </c>
    </row>
    <row r="3" spans="1:22" x14ac:dyDescent="0.25">
      <c r="A3" s="3">
        <v>2002</v>
      </c>
      <c r="B3" s="4" t="s">
        <v>38</v>
      </c>
      <c r="C3" s="5">
        <v>45533</v>
      </c>
      <c r="D3" s="3">
        <v>10048</v>
      </c>
      <c r="E3" s="4" t="s">
        <v>19</v>
      </c>
      <c r="F3" s="3">
        <v>40</v>
      </c>
      <c r="G3" s="3" t="s">
        <v>20</v>
      </c>
      <c r="H3" s="3" t="s">
        <v>21</v>
      </c>
      <c r="I3" s="3">
        <v>34</v>
      </c>
      <c r="J3" s="3">
        <v>5.49</v>
      </c>
      <c r="K3" s="3" t="s">
        <v>16</v>
      </c>
      <c r="L3" s="4" t="s">
        <v>22</v>
      </c>
      <c r="M3" s="3">
        <v>9.8000000000000007</v>
      </c>
      <c r="N3" s="3" t="s">
        <v>23</v>
      </c>
    </row>
    <row r="4" spans="1:22" x14ac:dyDescent="0.25">
      <c r="A4" s="3">
        <v>2003</v>
      </c>
      <c r="B4" s="4" t="s">
        <v>39</v>
      </c>
      <c r="C4" s="5">
        <v>45413</v>
      </c>
      <c r="D4" s="3">
        <v>10292</v>
      </c>
      <c r="E4" s="4" t="s">
        <v>19</v>
      </c>
      <c r="F4" s="3">
        <v>30</v>
      </c>
      <c r="G4" s="3" t="s">
        <v>24</v>
      </c>
      <c r="H4" s="3" t="s">
        <v>25</v>
      </c>
      <c r="I4" s="3">
        <v>7</v>
      </c>
      <c r="J4" s="3">
        <v>11.43</v>
      </c>
      <c r="K4" s="3" t="s">
        <v>16</v>
      </c>
      <c r="L4" s="4" t="s">
        <v>22</v>
      </c>
      <c r="M4" s="3">
        <v>4.4000000000000004</v>
      </c>
      <c r="N4" s="3" t="s">
        <v>26</v>
      </c>
    </row>
    <row r="5" spans="1:22" x14ac:dyDescent="0.25">
      <c r="A5" s="3">
        <v>2004</v>
      </c>
      <c r="B5" s="4" t="s">
        <v>40</v>
      </c>
      <c r="C5" s="5">
        <v>45349</v>
      </c>
      <c r="D5" s="3">
        <v>10251</v>
      </c>
      <c r="E5" s="4" t="s">
        <v>19</v>
      </c>
      <c r="F5" s="3">
        <v>51</v>
      </c>
      <c r="G5" s="3" t="s">
        <v>27</v>
      </c>
      <c r="H5" s="3" t="s">
        <v>27</v>
      </c>
      <c r="I5" s="3">
        <v>52</v>
      </c>
      <c r="J5" s="3">
        <v>3.71</v>
      </c>
      <c r="K5" s="3" t="s">
        <v>16</v>
      </c>
      <c r="L5" s="4" t="s">
        <v>22</v>
      </c>
      <c r="M5" s="3">
        <v>13.4</v>
      </c>
      <c r="N5" s="3" t="s">
        <v>23</v>
      </c>
    </row>
    <row r="6" spans="1:22" x14ac:dyDescent="0.25">
      <c r="A6" s="3">
        <v>2005</v>
      </c>
      <c r="B6" s="4" t="s">
        <v>41</v>
      </c>
      <c r="C6" s="5">
        <v>45610</v>
      </c>
      <c r="D6" s="3">
        <v>10331</v>
      </c>
      <c r="E6" s="4" t="s">
        <v>13</v>
      </c>
      <c r="F6" s="3">
        <v>37</v>
      </c>
      <c r="G6" s="3" t="s">
        <v>21</v>
      </c>
      <c r="H6" s="3" t="s">
        <v>28</v>
      </c>
      <c r="I6" s="3">
        <v>40</v>
      </c>
      <c r="J6" s="3">
        <v>10.82</v>
      </c>
      <c r="K6" s="3" t="s">
        <v>16</v>
      </c>
      <c r="L6" s="4" t="s">
        <v>29</v>
      </c>
      <c r="M6" s="3">
        <v>11</v>
      </c>
      <c r="N6" s="3" t="s">
        <v>30</v>
      </c>
    </row>
    <row r="7" spans="1:22" x14ac:dyDescent="0.25">
      <c r="A7" s="3">
        <v>2006</v>
      </c>
      <c r="B7" s="4" t="s">
        <v>37</v>
      </c>
      <c r="C7" s="5">
        <v>45388</v>
      </c>
      <c r="D7" s="3">
        <v>10384</v>
      </c>
      <c r="E7" s="4" t="s">
        <v>19</v>
      </c>
      <c r="F7" s="3">
        <v>41</v>
      </c>
      <c r="G7" s="3" t="s">
        <v>28</v>
      </c>
      <c r="H7" s="3" t="s">
        <v>14</v>
      </c>
      <c r="I7" s="3">
        <v>39</v>
      </c>
      <c r="J7" s="3">
        <v>2.65</v>
      </c>
      <c r="K7" s="3" t="s">
        <v>31</v>
      </c>
      <c r="L7" s="4" t="s">
        <v>22</v>
      </c>
      <c r="M7" s="3">
        <v>12.8</v>
      </c>
      <c r="N7" s="3" t="s">
        <v>18</v>
      </c>
    </row>
    <row r="8" spans="1:22" x14ac:dyDescent="0.25">
      <c r="A8" s="3">
        <v>2007</v>
      </c>
      <c r="B8" s="4" t="s">
        <v>42</v>
      </c>
      <c r="C8" s="5">
        <v>45629</v>
      </c>
      <c r="D8" s="3">
        <v>10064</v>
      </c>
      <c r="E8" s="4" t="s">
        <v>13</v>
      </c>
      <c r="F8" s="3">
        <v>35</v>
      </c>
      <c r="G8" s="3" t="s">
        <v>32</v>
      </c>
      <c r="H8" s="3" t="s">
        <v>15</v>
      </c>
      <c r="I8" s="3">
        <v>12</v>
      </c>
      <c r="J8" s="3">
        <v>5</v>
      </c>
      <c r="K8" s="3" t="s">
        <v>16</v>
      </c>
      <c r="L8" s="4" t="s">
        <v>29</v>
      </c>
      <c r="M8" s="3">
        <v>5.4</v>
      </c>
      <c r="N8" s="3" t="s">
        <v>18</v>
      </c>
    </row>
    <row r="9" spans="1:22" x14ac:dyDescent="0.25">
      <c r="A9" s="3">
        <v>2008</v>
      </c>
      <c r="B9" s="4" t="s">
        <v>43</v>
      </c>
      <c r="C9" s="5">
        <v>45560</v>
      </c>
      <c r="D9" s="3">
        <v>10326</v>
      </c>
      <c r="E9" s="4" t="s">
        <v>13</v>
      </c>
      <c r="F9" s="3">
        <v>19</v>
      </c>
      <c r="G9" s="3" t="s">
        <v>20</v>
      </c>
      <c r="H9" s="3" t="s">
        <v>33</v>
      </c>
      <c r="I9" s="3">
        <v>32</v>
      </c>
      <c r="J9" s="3">
        <v>12.8</v>
      </c>
      <c r="K9" s="3" t="s">
        <v>16</v>
      </c>
      <c r="L9" s="4" t="s">
        <v>29</v>
      </c>
      <c r="M9" s="3">
        <v>9.4</v>
      </c>
      <c r="N9" s="3" t="s">
        <v>18</v>
      </c>
    </row>
    <row r="10" spans="1:22" x14ac:dyDescent="0.25">
      <c r="A10" s="3">
        <v>2009</v>
      </c>
      <c r="B10" s="4" t="s">
        <v>43</v>
      </c>
      <c r="C10" s="5">
        <v>45536</v>
      </c>
      <c r="D10" s="3">
        <v>10455</v>
      </c>
      <c r="E10" s="4" t="s">
        <v>19</v>
      </c>
      <c r="F10" s="3">
        <v>21</v>
      </c>
      <c r="G10" s="3" t="s">
        <v>20</v>
      </c>
      <c r="H10" s="3" t="s">
        <v>25</v>
      </c>
      <c r="I10" s="3">
        <v>46</v>
      </c>
      <c r="J10" s="3">
        <v>7.91</v>
      </c>
      <c r="K10" s="3" t="s">
        <v>16</v>
      </c>
      <c r="L10" s="4" t="s">
        <v>29</v>
      </c>
      <c r="M10" s="3">
        <v>12.2</v>
      </c>
      <c r="N10" s="3" t="s">
        <v>30</v>
      </c>
    </row>
    <row r="11" spans="1:22" x14ac:dyDescent="0.25">
      <c r="A11" s="3">
        <v>2010</v>
      </c>
      <c r="B11" s="4" t="s">
        <v>44</v>
      </c>
      <c r="C11" s="5">
        <v>45587</v>
      </c>
      <c r="D11" s="3">
        <v>10072</v>
      </c>
      <c r="E11" s="4" t="s">
        <v>13</v>
      </c>
      <c r="F11" s="3">
        <v>21</v>
      </c>
      <c r="G11" s="3" t="s">
        <v>32</v>
      </c>
      <c r="H11" s="3" t="s">
        <v>20</v>
      </c>
      <c r="I11" s="3">
        <v>13</v>
      </c>
      <c r="J11" s="3">
        <v>8.86</v>
      </c>
      <c r="K11" s="3" t="s">
        <v>31</v>
      </c>
      <c r="L11" s="4" t="s">
        <v>22</v>
      </c>
      <c r="M11" s="3">
        <v>7.6</v>
      </c>
      <c r="N11" s="3" t="s">
        <v>23</v>
      </c>
    </row>
    <row r="12" spans="1:22" x14ac:dyDescent="0.25">
      <c r="A12" s="3">
        <v>2011</v>
      </c>
      <c r="B12" s="4" t="s">
        <v>39</v>
      </c>
      <c r="C12" s="5">
        <v>45413</v>
      </c>
      <c r="D12" s="3">
        <v>10269</v>
      </c>
      <c r="E12" s="4" t="s">
        <v>19</v>
      </c>
      <c r="F12" s="3">
        <v>54</v>
      </c>
      <c r="G12" s="3" t="s">
        <v>27</v>
      </c>
      <c r="H12" s="3" t="s">
        <v>14</v>
      </c>
      <c r="I12" s="3">
        <v>16</v>
      </c>
      <c r="J12" s="3">
        <v>14.29</v>
      </c>
      <c r="K12" s="3" t="s">
        <v>31</v>
      </c>
      <c r="L12" s="4" t="s">
        <v>29</v>
      </c>
      <c r="M12" s="3">
        <v>8.1999999999999993</v>
      </c>
      <c r="N12" s="3" t="s">
        <v>30</v>
      </c>
    </row>
    <row r="13" spans="1:22" x14ac:dyDescent="0.25">
      <c r="A13" s="3">
        <v>2012</v>
      </c>
      <c r="B13" s="4" t="s">
        <v>37</v>
      </c>
      <c r="C13" s="5">
        <v>45396</v>
      </c>
      <c r="D13" s="3">
        <v>10436</v>
      </c>
      <c r="E13" s="4" t="s">
        <v>13</v>
      </c>
      <c r="F13" s="3">
        <v>55</v>
      </c>
      <c r="G13" s="3" t="s">
        <v>14</v>
      </c>
      <c r="H13" s="3" t="s">
        <v>25</v>
      </c>
      <c r="I13" s="3">
        <v>59</v>
      </c>
      <c r="J13" s="3">
        <v>1.65</v>
      </c>
      <c r="K13" s="3" t="s">
        <v>16</v>
      </c>
      <c r="L13" s="4" t="s">
        <v>29</v>
      </c>
      <c r="M13" s="3">
        <v>14.8</v>
      </c>
      <c r="N13" s="3" t="s">
        <v>30</v>
      </c>
    </row>
    <row r="14" spans="1:22" x14ac:dyDescent="0.25">
      <c r="A14" s="3">
        <v>2013</v>
      </c>
      <c r="B14" s="4" t="s">
        <v>45</v>
      </c>
      <c r="C14" s="5">
        <v>45446</v>
      </c>
      <c r="D14" s="3">
        <v>10226</v>
      </c>
      <c r="E14" s="4" t="s">
        <v>19</v>
      </c>
      <c r="F14" s="3">
        <v>51</v>
      </c>
      <c r="G14" s="3" t="s">
        <v>34</v>
      </c>
      <c r="H14" s="3" t="s">
        <v>32</v>
      </c>
      <c r="I14" s="3">
        <v>25</v>
      </c>
      <c r="J14" s="3">
        <v>1.54</v>
      </c>
      <c r="K14" s="3" t="s">
        <v>16</v>
      </c>
      <c r="L14" s="4" t="s">
        <v>29</v>
      </c>
      <c r="M14" s="3">
        <v>8</v>
      </c>
      <c r="N14" s="3" t="s">
        <v>23</v>
      </c>
    </row>
    <row r="15" spans="1:22" x14ac:dyDescent="0.25">
      <c r="A15" s="3">
        <v>2014</v>
      </c>
      <c r="B15" s="4" t="s">
        <v>46</v>
      </c>
      <c r="C15" s="5">
        <v>45359</v>
      </c>
      <c r="D15" s="3">
        <v>10187</v>
      </c>
      <c r="E15" s="4" t="s">
        <v>13</v>
      </c>
      <c r="F15" s="3">
        <v>52</v>
      </c>
      <c r="G15" s="3" t="s">
        <v>28</v>
      </c>
      <c r="H15" s="3" t="s">
        <v>14</v>
      </c>
      <c r="I15" s="3">
        <v>8</v>
      </c>
      <c r="J15" s="3">
        <v>2.31</v>
      </c>
      <c r="K15" s="3" t="s">
        <v>31</v>
      </c>
      <c r="L15" s="4" t="s">
        <v>29</v>
      </c>
      <c r="M15" s="3">
        <v>6.6</v>
      </c>
      <c r="N15" s="3" t="s">
        <v>30</v>
      </c>
    </row>
    <row r="16" spans="1:22" x14ac:dyDescent="0.25">
      <c r="A16" s="3">
        <v>2015</v>
      </c>
      <c r="B16" s="4" t="s">
        <v>47</v>
      </c>
      <c r="C16" s="5">
        <v>45481</v>
      </c>
      <c r="D16" s="3">
        <v>10053</v>
      </c>
      <c r="E16" s="4" t="s">
        <v>13</v>
      </c>
      <c r="F16" s="3">
        <v>43</v>
      </c>
      <c r="G16" s="3" t="s">
        <v>27</v>
      </c>
      <c r="H16" s="3" t="s">
        <v>14</v>
      </c>
      <c r="I16" s="3">
        <v>46</v>
      </c>
      <c r="J16" s="3">
        <v>10.6</v>
      </c>
      <c r="K16" s="3" t="s">
        <v>16</v>
      </c>
      <c r="L16" s="4" t="s">
        <v>17</v>
      </c>
      <c r="M16" s="3">
        <v>12.2</v>
      </c>
      <c r="N16" s="3" t="s">
        <v>30</v>
      </c>
    </row>
    <row r="17" spans="1:14" x14ac:dyDescent="0.25">
      <c r="A17" s="3">
        <v>2016</v>
      </c>
      <c r="B17" s="4" t="s">
        <v>43</v>
      </c>
      <c r="C17" s="5">
        <v>45546</v>
      </c>
      <c r="D17" s="3">
        <v>10172</v>
      </c>
      <c r="E17" s="4" t="s">
        <v>13</v>
      </c>
      <c r="F17" s="3">
        <v>38</v>
      </c>
      <c r="G17" s="3" t="s">
        <v>21</v>
      </c>
      <c r="H17" s="3" t="s">
        <v>34</v>
      </c>
      <c r="I17" s="3">
        <v>17</v>
      </c>
      <c r="J17" s="3">
        <v>8.24</v>
      </c>
      <c r="K17" s="3" t="s">
        <v>31</v>
      </c>
      <c r="L17" s="4" t="s">
        <v>29</v>
      </c>
      <c r="M17" s="3">
        <v>8.4</v>
      </c>
      <c r="N17" s="3" t="s">
        <v>26</v>
      </c>
    </row>
    <row r="18" spans="1:14" x14ac:dyDescent="0.25">
      <c r="A18" s="3">
        <v>2017</v>
      </c>
      <c r="B18" s="4" t="s">
        <v>47</v>
      </c>
      <c r="C18" s="5">
        <v>45487</v>
      </c>
      <c r="D18" s="3">
        <v>10037</v>
      </c>
      <c r="E18" s="4" t="s">
        <v>13</v>
      </c>
      <c r="F18" s="3">
        <v>29</v>
      </c>
      <c r="G18" s="3" t="s">
        <v>21</v>
      </c>
      <c r="H18" s="3" t="s">
        <v>24</v>
      </c>
      <c r="I18" s="3">
        <v>12</v>
      </c>
      <c r="J18" s="3">
        <v>7.18</v>
      </c>
      <c r="K18" s="3" t="s">
        <v>31</v>
      </c>
      <c r="L18" s="4" t="s">
        <v>22</v>
      </c>
      <c r="M18" s="3">
        <v>7.4</v>
      </c>
      <c r="N18" s="3" t="s">
        <v>30</v>
      </c>
    </row>
    <row r="19" spans="1:14" x14ac:dyDescent="0.25">
      <c r="A19" s="3">
        <v>2018</v>
      </c>
      <c r="B19" s="4" t="s">
        <v>43</v>
      </c>
      <c r="C19" s="5">
        <v>45560</v>
      </c>
      <c r="D19" s="3">
        <v>10132</v>
      </c>
      <c r="E19" s="4" t="s">
        <v>13</v>
      </c>
      <c r="F19" s="3">
        <v>31</v>
      </c>
      <c r="G19" s="3" t="s">
        <v>14</v>
      </c>
      <c r="H19" s="3" t="s">
        <v>34</v>
      </c>
      <c r="I19" s="3">
        <v>26</v>
      </c>
      <c r="J19" s="3">
        <v>7.95</v>
      </c>
      <c r="K19" s="3" t="s">
        <v>16</v>
      </c>
      <c r="L19" s="4" t="s">
        <v>22</v>
      </c>
      <c r="M19" s="3">
        <v>8.1999999999999993</v>
      </c>
      <c r="N19" s="3" t="s">
        <v>26</v>
      </c>
    </row>
    <row r="20" spans="1:14" x14ac:dyDescent="0.25">
      <c r="A20" s="3">
        <v>2019</v>
      </c>
      <c r="B20" s="4" t="s">
        <v>37</v>
      </c>
      <c r="C20" s="5">
        <v>45410</v>
      </c>
      <c r="D20" s="3">
        <v>10104</v>
      </c>
      <c r="E20" s="4" t="s">
        <v>13</v>
      </c>
      <c r="F20" s="3">
        <v>18</v>
      </c>
      <c r="G20" s="3" t="s">
        <v>32</v>
      </c>
      <c r="H20" s="3" t="s">
        <v>24</v>
      </c>
      <c r="I20" s="3">
        <v>59</v>
      </c>
      <c r="J20" s="3">
        <v>2.68</v>
      </c>
      <c r="K20" s="3" t="s">
        <v>16</v>
      </c>
      <c r="L20" s="4" t="s">
        <v>29</v>
      </c>
      <c r="M20" s="3">
        <v>14.8</v>
      </c>
      <c r="N20" s="3" t="s">
        <v>26</v>
      </c>
    </row>
    <row r="21" spans="1:14" x14ac:dyDescent="0.25">
      <c r="A21" s="3">
        <v>2020</v>
      </c>
      <c r="B21" s="4" t="s">
        <v>44</v>
      </c>
      <c r="C21" s="5">
        <v>45582</v>
      </c>
      <c r="D21" s="3">
        <v>10243</v>
      </c>
      <c r="E21" s="4" t="s">
        <v>19</v>
      </c>
      <c r="F21" s="3">
        <v>23</v>
      </c>
      <c r="G21" s="3" t="s">
        <v>28</v>
      </c>
      <c r="H21" s="3" t="s">
        <v>14</v>
      </c>
      <c r="I21" s="3">
        <v>8</v>
      </c>
      <c r="J21" s="3">
        <v>8.86</v>
      </c>
      <c r="K21" s="3" t="s">
        <v>31</v>
      </c>
      <c r="L21" s="4" t="s">
        <v>29</v>
      </c>
      <c r="M21" s="3">
        <v>6.6</v>
      </c>
      <c r="N21" s="3" t="s">
        <v>30</v>
      </c>
    </row>
    <row r="22" spans="1:14" x14ac:dyDescent="0.25">
      <c r="A22" s="3">
        <v>2021</v>
      </c>
      <c r="B22" s="4" t="s">
        <v>46</v>
      </c>
      <c r="C22" s="5">
        <v>45374</v>
      </c>
      <c r="D22" s="3">
        <v>10096</v>
      </c>
      <c r="E22" s="4" t="s">
        <v>19</v>
      </c>
      <c r="F22" s="3">
        <v>18</v>
      </c>
      <c r="G22" s="3" t="s">
        <v>24</v>
      </c>
      <c r="H22" s="3" t="s">
        <v>28</v>
      </c>
      <c r="I22" s="3">
        <v>32</v>
      </c>
      <c r="J22" s="3">
        <v>2.97</v>
      </c>
      <c r="K22" s="3" t="s">
        <v>31</v>
      </c>
      <c r="L22" s="4" t="s">
        <v>29</v>
      </c>
      <c r="M22" s="3">
        <v>11.4</v>
      </c>
      <c r="N22" s="3" t="s">
        <v>23</v>
      </c>
    </row>
    <row r="23" spans="1:14" x14ac:dyDescent="0.25">
      <c r="A23" s="3">
        <v>2022</v>
      </c>
      <c r="B23" s="4" t="s">
        <v>44</v>
      </c>
      <c r="C23" s="5">
        <v>45574</v>
      </c>
      <c r="D23" s="3">
        <v>10398</v>
      </c>
      <c r="E23" s="4" t="s">
        <v>19</v>
      </c>
      <c r="F23" s="3">
        <v>21</v>
      </c>
      <c r="G23" s="3" t="s">
        <v>25</v>
      </c>
      <c r="H23" s="3" t="s">
        <v>24</v>
      </c>
      <c r="I23" s="3">
        <v>8</v>
      </c>
      <c r="J23" s="3">
        <v>5.1100000000000003</v>
      </c>
      <c r="K23" s="3" t="s">
        <v>16</v>
      </c>
      <c r="L23" s="4" t="s">
        <v>17</v>
      </c>
      <c r="M23" s="3">
        <v>4.5999999999999996</v>
      </c>
      <c r="N23" s="3" t="s">
        <v>18</v>
      </c>
    </row>
    <row r="24" spans="1:14" x14ac:dyDescent="0.25">
      <c r="A24" s="3">
        <v>2023</v>
      </c>
      <c r="B24" s="4" t="s">
        <v>44</v>
      </c>
      <c r="C24" s="5">
        <v>45588</v>
      </c>
      <c r="D24" s="3">
        <v>10040</v>
      </c>
      <c r="E24" s="4" t="s">
        <v>19</v>
      </c>
      <c r="F24" s="3">
        <v>32</v>
      </c>
      <c r="G24" s="3" t="s">
        <v>25</v>
      </c>
      <c r="H24" s="3" t="s">
        <v>32</v>
      </c>
      <c r="I24" s="3">
        <v>48</v>
      </c>
      <c r="J24" s="3">
        <v>3.47</v>
      </c>
      <c r="K24" s="3" t="s">
        <v>16</v>
      </c>
      <c r="L24" s="4" t="s">
        <v>29</v>
      </c>
      <c r="M24" s="3">
        <v>12.6</v>
      </c>
      <c r="N24" s="3" t="s">
        <v>30</v>
      </c>
    </row>
    <row r="25" spans="1:14" x14ac:dyDescent="0.25">
      <c r="A25" s="3">
        <v>2024</v>
      </c>
      <c r="B25" s="4" t="s">
        <v>39</v>
      </c>
      <c r="C25" s="5">
        <v>45432</v>
      </c>
      <c r="D25" s="3">
        <v>10400</v>
      </c>
      <c r="E25" s="4" t="s">
        <v>13</v>
      </c>
      <c r="F25" s="3">
        <v>30</v>
      </c>
      <c r="G25" s="3" t="s">
        <v>24</v>
      </c>
      <c r="H25" s="3" t="s">
        <v>24</v>
      </c>
      <c r="I25" s="3">
        <v>7</v>
      </c>
      <c r="J25" s="3">
        <v>9.6199999999999992</v>
      </c>
      <c r="K25" s="3" t="s">
        <v>16</v>
      </c>
      <c r="L25" s="4" t="s">
        <v>29</v>
      </c>
      <c r="M25" s="3">
        <v>4.4000000000000004</v>
      </c>
      <c r="N25" s="3" t="s">
        <v>18</v>
      </c>
    </row>
    <row r="26" spans="1:14" x14ac:dyDescent="0.25">
      <c r="A26" s="3">
        <v>2025</v>
      </c>
      <c r="B26" s="4" t="s">
        <v>48</v>
      </c>
      <c r="C26" s="5">
        <v>45308</v>
      </c>
      <c r="D26" s="3">
        <v>10237</v>
      </c>
      <c r="E26" s="4" t="s">
        <v>19</v>
      </c>
      <c r="F26" s="3">
        <v>35</v>
      </c>
      <c r="G26" s="3" t="s">
        <v>20</v>
      </c>
      <c r="H26" s="3" t="s">
        <v>14</v>
      </c>
      <c r="I26" s="3">
        <v>10</v>
      </c>
      <c r="J26" s="3">
        <v>2.89</v>
      </c>
      <c r="K26" s="3" t="s">
        <v>16</v>
      </c>
      <c r="L26" s="4" t="s">
        <v>22</v>
      </c>
      <c r="M26" s="3">
        <v>5</v>
      </c>
      <c r="N26" s="3" t="s">
        <v>30</v>
      </c>
    </row>
    <row r="27" spans="1:14" x14ac:dyDescent="0.25">
      <c r="A27" s="3">
        <v>2026</v>
      </c>
      <c r="B27" s="4" t="s">
        <v>41</v>
      </c>
      <c r="C27" s="5">
        <v>45604</v>
      </c>
      <c r="D27" s="3">
        <v>10214</v>
      </c>
      <c r="E27" s="4" t="s">
        <v>13</v>
      </c>
      <c r="F27" s="3">
        <v>33</v>
      </c>
      <c r="G27" s="3" t="s">
        <v>35</v>
      </c>
      <c r="H27" s="3" t="s">
        <v>15</v>
      </c>
      <c r="I27" s="3">
        <v>44</v>
      </c>
      <c r="J27" s="3">
        <v>7.81</v>
      </c>
      <c r="K27" s="3" t="s">
        <v>31</v>
      </c>
      <c r="L27" s="4" t="s">
        <v>17</v>
      </c>
      <c r="M27" s="3">
        <v>13.8</v>
      </c>
      <c r="N27" s="3" t="s">
        <v>23</v>
      </c>
    </row>
    <row r="28" spans="1:14" x14ac:dyDescent="0.25">
      <c r="A28" s="3">
        <v>2027</v>
      </c>
      <c r="B28" s="4" t="s">
        <v>40</v>
      </c>
      <c r="C28" s="5">
        <v>45327</v>
      </c>
      <c r="D28" s="3">
        <v>10240</v>
      </c>
      <c r="E28" s="4" t="s">
        <v>19</v>
      </c>
      <c r="F28" s="3">
        <v>53</v>
      </c>
      <c r="G28" s="3" t="s">
        <v>34</v>
      </c>
      <c r="H28" s="3" t="s">
        <v>24</v>
      </c>
      <c r="I28" s="3">
        <v>48</v>
      </c>
      <c r="J28" s="3">
        <v>13.48</v>
      </c>
      <c r="K28" s="3" t="s">
        <v>16</v>
      </c>
      <c r="L28" s="4" t="s">
        <v>22</v>
      </c>
      <c r="M28" s="3">
        <v>12.6</v>
      </c>
      <c r="N28" s="3" t="s">
        <v>23</v>
      </c>
    </row>
    <row r="29" spans="1:14" x14ac:dyDescent="0.25">
      <c r="A29" s="3">
        <v>2028</v>
      </c>
      <c r="B29" s="4" t="s">
        <v>40</v>
      </c>
      <c r="C29" s="5">
        <v>45330</v>
      </c>
      <c r="D29" s="3">
        <v>10478</v>
      </c>
      <c r="E29" s="4" t="s">
        <v>13</v>
      </c>
      <c r="F29" s="3">
        <v>42</v>
      </c>
      <c r="G29" s="3" t="s">
        <v>14</v>
      </c>
      <c r="H29" s="3" t="s">
        <v>28</v>
      </c>
      <c r="I29" s="3">
        <v>15</v>
      </c>
      <c r="J29" s="3">
        <v>5.37</v>
      </c>
      <c r="K29" s="3" t="s">
        <v>16</v>
      </c>
      <c r="L29" s="4" t="s">
        <v>29</v>
      </c>
      <c r="M29" s="3">
        <v>6</v>
      </c>
      <c r="N29" s="3" t="s">
        <v>18</v>
      </c>
    </row>
    <row r="30" spans="1:14" x14ac:dyDescent="0.25">
      <c r="A30" s="3">
        <v>2029</v>
      </c>
      <c r="B30" s="4" t="s">
        <v>47</v>
      </c>
      <c r="C30" s="5">
        <v>45481</v>
      </c>
      <c r="D30" s="3">
        <v>10386</v>
      </c>
      <c r="E30" s="4" t="s">
        <v>13</v>
      </c>
      <c r="F30" s="3">
        <v>25</v>
      </c>
      <c r="G30" s="3" t="s">
        <v>21</v>
      </c>
      <c r="H30" s="3" t="s">
        <v>34</v>
      </c>
      <c r="I30" s="3">
        <v>15</v>
      </c>
      <c r="J30" s="3">
        <v>4.2300000000000004</v>
      </c>
      <c r="K30" s="3" t="s">
        <v>31</v>
      </c>
      <c r="L30" s="4" t="s">
        <v>29</v>
      </c>
      <c r="M30" s="3">
        <v>8</v>
      </c>
      <c r="N30" s="3" t="s">
        <v>23</v>
      </c>
    </row>
    <row r="31" spans="1:14" x14ac:dyDescent="0.25">
      <c r="A31" s="3">
        <v>2030</v>
      </c>
      <c r="B31" s="4" t="s">
        <v>39</v>
      </c>
      <c r="C31" s="5">
        <v>45429</v>
      </c>
      <c r="D31" s="3">
        <v>10202</v>
      </c>
      <c r="E31" s="4" t="s">
        <v>19</v>
      </c>
      <c r="F31" s="3">
        <v>46</v>
      </c>
      <c r="G31" s="3" t="s">
        <v>32</v>
      </c>
      <c r="H31" s="3" t="s">
        <v>24</v>
      </c>
      <c r="I31" s="3">
        <v>16</v>
      </c>
      <c r="J31" s="3">
        <v>14.17</v>
      </c>
      <c r="K31" s="3" t="s">
        <v>16</v>
      </c>
      <c r="L31" s="4" t="s">
        <v>29</v>
      </c>
      <c r="M31" s="3">
        <v>6.2</v>
      </c>
      <c r="N31" s="3" t="s">
        <v>18</v>
      </c>
    </row>
    <row r="32" spans="1:14" x14ac:dyDescent="0.25">
      <c r="A32" s="3">
        <v>2031</v>
      </c>
      <c r="B32" s="4" t="s">
        <v>37</v>
      </c>
      <c r="C32" s="5">
        <v>45410</v>
      </c>
      <c r="D32" s="3">
        <v>10007</v>
      </c>
      <c r="E32" s="4" t="s">
        <v>13</v>
      </c>
      <c r="F32" s="3">
        <v>31</v>
      </c>
      <c r="G32" s="3" t="s">
        <v>14</v>
      </c>
      <c r="H32" s="3" t="s">
        <v>34</v>
      </c>
      <c r="I32" s="3">
        <v>21</v>
      </c>
      <c r="J32" s="3">
        <v>1.41</v>
      </c>
      <c r="K32" s="3" t="s">
        <v>31</v>
      </c>
      <c r="L32" s="4" t="s">
        <v>22</v>
      </c>
      <c r="M32" s="3">
        <v>9.1999999999999993</v>
      </c>
      <c r="N32" s="3" t="s">
        <v>26</v>
      </c>
    </row>
    <row r="33" spans="1:14" x14ac:dyDescent="0.25">
      <c r="A33" s="3">
        <v>2033</v>
      </c>
      <c r="B33" s="4" t="s">
        <v>37</v>
      </c>
      <c r="C33" s="5">
        <v>45383</v>
      </c>
      <c r="D33" s="3">
        <v>10291</v>
      </c>
      <c r="E33" s="4" t="s">
        <v>19</v>
      </c>
      <c r="F33" s="3">
        <v>49</v>
      </c>
      <c r="G33" s="3" t="s">
        <v>25</v>
      </c>
      <c r="H33" s="3" t="s">
        <v>15</v>
      </c>
      <c r="I33" s="3">
        <v>44</v>
      </c>
      <c r="J33" s="3">
        <v>3.4</v>
      </c>
      <c r="K33" s="3" t="s">
        <v>16</v>
      </c>
      <c r="L33" s="4" t="s">
        <v>17</v>
      </c>
      <c r="M33" s="3">
        <v>11.8</v>
      </c>
      <c r="N33" s="3" t="s">
        <v>18</v>
      </c>
    </row>
    <row r="34" spans="1:14" x14ac:dyDescent="0.25">
      <c r="A34" s="3">
        <v>2034</v>
      </c>
      <c r="B34" s="4" t="s">
        <v>39</v>
      </c>
      <c r="C34" s="5">
        <v>45428</v>
      </c>
      <c r="D34" s="3">
        <v>10480</v>
      </c>
      <c r="E34" s="4" t="s">
        <v>19</v>
      </c>
      <c r="F34" s="3">
        <v>42</v>
      </c>
      <c r="G34" s="3" t="s">
        <v>20</v>
      </c>
      <c r="H34" s="3" t="s">
        <v>32</v>
      </c>
      <c r="I34" s="3">
        <v>21</v>
      </c>
      <c r="J34" s="3">
        <v>8.68</v>
      </c>
      <c r="K34" s="3" t="s">
        <v>31</v>
      </c>
      <c r="L34" s="4" t="s">
        <v>17</v>
      </c>
      <c r="M34" s="3">
        <v>9.1999999999999993</v>
      </c>
      <c r="N34" s="3" t="s">
        <v>26</v>
      </c>
    </row>
    <row r="35" spans="1:14" x14ac:dyDescent="0.25">
      <c r="A35" s="3">
        <v>2035</v>
      </c>
      <c r="B35" s="4" t="s">
        <v>40</v>
      </c>
      <c r="C35" s="5">
        <v>45335</v>
      </c>
      <c r="D35" s="3">
        <v>10408</v>
      </c>
      <c r="E35" s="4" t="s">
        <v>13</v>
      </c>
      <c r="F35" s="3">
        <v>20</v>
      </c>
      <c r="G35" s="3" t="s">
        <v>35</v>
      </c>
      <c r="H35" s="3" t="s">
        <v>28</v>
      </c>
      <c r="I35" s="3">
        <v>56</v>
      </c>
      <c r="J35" s="3">
        <v>4.28</v>
      </c>
      <c r="K35" s="3" t="s">
        <v>31</v>
      </c>
      <c r="L35" s="4" t="s">
        <v>17</v>
      </c>
      <c r="M35" s="3">
        <v>16.2</v>
      </c>
      <c r="N35" s="3" t="s">
        <v>26</v>
      </c>
    </row>
    <row r="36" spans="1:14" x14ac:dyDescent="0.25">
      <c r="A36" s="3">
        <v>2036</v>
      </c>
      <c r="B36" s="4" t="s">
        <v>40</v>
      </c>
      <c r="C36" s="5">
        <v>45348</v>
      </c>
      <c r="D36" s="3">
        <v>10031</v>
      </c>
      <c r="E36" s="4" t="s">
        <v>19</v>
      </c>
      <c r="F36" s="3">
        <v>44</v>
      </c>
      <c r="G36" s="3" t="s">
        <v>25</v>
      </c>
      <c r="H36" s="3" t="s">
        <v>34</v>
      </c>
      <c r="I36" s="3">
        <v>32</v>
      </c>
      <c r="J36" s="3">
        <v>14.79</v>
      </c>
      <c r="K36" s="3" t="s">
        <v>31</v>
      </c>
      <c r="L36" s="4" t="s">
        <v>22</v>
      </c>
      <c r="M36" s="3">
        <v>11.4</v>
      </c>
      <c r="N36" s="3" t="s">
        <v>23</v>
      </c>
    </row>
    <row r="37" spans="1:14" x14ac:dyDescent="0.25">
      <c r="A37" s="3">
        <v>2037</v>
      </c>
      <c r="B37" s="4" t="s">
        <v>42</v>
      </c>
      <c r="C37" s="5">
        <v>45627</v>
      </c>
      <c r="D37" s="3">
        <v>10300</v>
      </c>
      <c r="E37" s="4" t="s">
        <v>13</v>
      </c>
      <c r="F37" s="3">
        <v>30</v>
      </c>
      <c r="G37" s="3" t="s">
        <v>28</v>
      </c>
      <c r="H37" s="3" t="s">
        <v>27</v>
      </c>
      <c r="I37" s="3">
        <v>38</v>
      </c>
      <c r="J37" s="3">
        <v>5.32</v>
      </c>
      <c r="K37" s="3" t="s">
        <v>31</v>
      </c>
      <c r="L37" s="4" t="s">
        <v>17</v>
      </c>
      <c r="M37" s="3">
        <v>12.6</v>
      </c>
      <c r="N37" s="3" t="s">
        <v>26</v>
      </c>
    </row>
    <row r="38" spans="1:14" x14ac:dyDescent="0.25">
      <c r="A38" s="3">
        <v>2038</v>
      </c>
      <c r="B38" s="4" t="s">
        <v>47</v>
      </c>
      <c r="C38" s="5">
        <v>45484</v>
      </c>
      <c r="D38" s="3">
        <v>10182</v>
      </c>
      <c r="E38" s="4" t="s">
        <v>19</v>
      </c>
      <c r="F38" s="3">
        <v>34</v>
      </c>
      <c r="G38" s="3" t="s">
        <v>20</v>
      </c>
      <c r="H38" s="3" t="s">
        <v>35</v>
      </c>
      <c r="I38" s="3">
        <v>34</v>
      </c>
      <c r="J38" s="3">
        <v>14.64</v>
      </c>
      <c r="K38" s="3" t="s">
        <v>31</v>
      </c>
      <c r="L38" s="4" t="s">
        <v>17</v>
      </c>
      <c r="M38" s="3">
        <v>11.8</v>
      </c>
      <c r="N38" s="3" t="s">
        <v>30</v>
      </c>
    </row>
    <row r="39" spans="1:14" x14ac:dyDescent="0.25">
      <c r="A39" s="3">
        <v>2039</v>
      </c>
      <c r="B39" s="4" t="s">
        <v>40</v>
      </c>
      <c r="C39" s="5">
        <v>45330</v>
      </c>
      <c r="D39" s="3">
        <v>10055</v>
      </c>
      <c r="E39" s="4" t="s">
        <v>13</v>
      </c>
      <c r="F39" s="3">
        <v>34</v>
      </c>
      <c r="G39" s="3" t="s">
        <v>32</v>
      </c>
      <c r="H39" s="3" t="s">
        <v>20</v>
      </c>
      <c r="I39" s="3">
        <v>59</v>
      </c>
      <c r="J39" s="3">
        <v>14.1</v>
      </c>
      <c r="K39" s="3" t="s">
        <v>31</v>
      </c>
      <c r="L39" s="4" t="s">
        <v>22</v>
      </c>
      <c r="M39" s="3">
        <v>16.8</v>
      </c>
      <c r="N39" s="3" t="s">
        <v>23</v>
      </c>
    </row>
    <row r="40" spans="1:14" x14ac:dyDescent="0.25">
      <c r="A40" s="3">
        <v>2040</v>
      </c>
      <c r="B40" s="4" t="s">
        <v>48</v>
      </c>
      <c r="C40" s="5">
        <v>45300</v>
      </c>
      <c r="D40" s="3">
        <v>10425</v>
      </c>
      <c r="E40" s="4" t="s">
        <v>19</v>
      </c>
      <c r="F40" s="3">
        <v>21</v>
      </c>
      <c r="G40" s="3" t="s">
        <v>15</v>
      </c>
      <c r="H40" s="3" t="s">
        <v>21</v>
      </c>
      <c r="I40" s="3">
        <v>51</v>
      </c>
      <c r="J40" s="3">
        <v>1.1599999999999999</v>
      </c>
      <c r="K40" s="3" t="s">
        <v>16</v>
      </c>
      <c r="L40" s="4" t="s">
        <v>17</v>
      </c>
      <c r="M40" s="3">
        <v>13.2</v>
      </c>
      <c r="N40" s="3" t="s">
        <v>23</v>
      </c>
    </row>
    <row r="41" spans="1:14" x14ac:dyDescent="0.25">
      <c r="A41" s="3">
        <v>2041</v>
      </c>
      <c r="B41" s="4" t="s">
        <v>45</v>
      </c>
      <c r="C41" s="5">
        <v>45467</v>
      </c>
      <c r="D41" s="3">
        <v>10323</v>
      </c>
      <c r="E41" s="4" t="s">
        <v>19</v>
      </c>
      <c r="F41" s="3">
        <v>54</v>
      </c>
      <c r="G41" s="3" t="s">
        <v>28</v>
      </c>
      <c r="H41" s="3" t="s">
        <v>32</v>
      </c>
      <c r="I41" s="3">
        <v>50</v>
      </c>
      <c r="J41" s="3">
        <v>8.33</v>
      </c>
      <c r="K41" s="3" t="s">
        <v>31</v>
      </c>
      <c r="L41" s="4" t="s">
        <v>22</v>
      </c>
      <c r="M41" s="3">
        <v>15</v>
      </c>
      <c r="N41" s="3" t="s">
        <v>18</v>
      </c>
    </row>
    <row r="42" spans="1:14" x14ac:dyDescent="0.25">
      <c r="A42" s="3">
        <v>2042</v>
      </c>
      <c r="B42" s="4" t="s">
        <v>42</v>
      </c>
      <c r="C42" s="5">
        <v>45634</v>
      </c>
      <c r="D42" s="3">
        <v>10221</v>
      </c>
      <c r="E42" s="4" t="s">
        <v>13</v>
      </c>
      <c r="F42" s="3">
        <v>22</v>
      </c>
      <c r="G42" s="3" t="s">
        <v>20</v>
      </c>
      <c r="H42" s="3" t="s">
        <v>33</v>
      </c>
      <c r="I42" s="3">
        <v>47</v>
      </c>
      <c r="J42" s="3">
        <v>8.08</v>
      </c>
      <c r="K42" s="3" t="s">
        <v>16</v>
      </c>
      <c r="L42" s="4" t="s">
        <v>29</v>
      </c>
      <c r="M42" s="3">
        <v>12.4</v>
      </c>
      <c r="N42" s="3" t="s">
        <v>30</v>
      </c>
    </row>
    <row r="43" spans="1:14" x14ac:dyDescent="0.25">
      <c r="A43" s="3">
        <v>2043</v>
      </c>
      <c r="B43" s="4" t="s">
        <v>39</v>
      </c>
      <c r="C43" s="5">
        <v>45419</v>
      </c>
      <c r="D43" s="3">
        <v>10389</v>
      </c>
      <c r="E43" s="4" t="s">
        <v>19</v>
      </c>
      <c r="F43" s="3">
        <v>41</v>
      </c>
      <c r="G43" s="3" t="s">
        <v>28</v>
      </c>
      <c r="H43" s="3" t="s">
        <v>20</v>
      </c>
      <c r="I43" s="3">
        <v>54</v>
      </c>
      <c r="J43" s="3">
        <v>7.04</v>
      </c>
      <c r="K43" s="3" t="s">
        <v>16</v>
      </c>
      <c r="L43" s="4" t="s">
        <v>17</v>
      </c>
      <c r="M43" s="3">
        <v>13.8</v>
      </c>
      <c r="N43" s="3" t="s">
        <v>18</v>
      </c>
    </row>
    <row r="44" spans="1:14" x14ac:dyDescent="0.25">
      <c r="A44" s="3">
        <v>2045</v>
      </c>
      <c r="B44" s="4" t="s">
        <v>44</v>
      </c>
      <c r="C44" s="5">
        <v>45582</v>
      </c>
      <c r="D44" s="3">
        <v>10409</v>
      </c>
      <c r="E44" s="4" t="s">
        <v>19</v>
      </c>
      <c r="F44" s="3">
        <v>55</v>
      </c>
      <c r="G44" s="3" t="s">
        <v>15</v>
      </c>
      <c r="H44" s="3" t="s">
        <v>15</v>
      </c>
      <c r="I44" s="3">
        <v>27</v>
      </c>
      <c r="J44" s="3">
        <v>11.79</v>
      </c>
      <c r="K44" s="3" t="s">
        <v>16</v>
      </c>
      <c r="L44" s="4" t="s">
        <v>22</v>
      </c>
      <c r="M44" s="3">
        <v>8.4</v>
      </c>
      <c r="N44" s="3" t="s">
        <v>30</v>
      </c>
    </row>
    <row r="45" spans="1:14" x14ac:dyDescent="0.25">
      <c r="A45" s="3">
        <v>2046</v>
      </c>
      <c r="B45" s="4" t="s">
        <v>46</v>
      </c>
      <c r="C45" s="5">
        <v>45358</v>
      </c>
      <c r="D45" s="3">
        <v>10043</v>
      </c>
      <c r="E45" s="4" t="s">
        <v>13</v>
      </c>
      <c r="F45" s="3">
        <v>41</v>
      </c>
      <c r="G45" s="3" t="s">
        <v>32</v>
      </c>
      <c r="H45" s="3" t="s">
        <v>34</v>
      </c>
      <c r="I45" s="3">
        <v>28</v>
      </c>
      <c r="J45" s="3">
        <v>12.5</v>
      </c>
      <c r="K45" s="3" t="s">
        <v>16</v>
      </c>
      <c r="L45" s="4" t="s">
        <v>17</v>
      </c>
      <c r="M45" s="3">
        <v>8.6</v>
      </c>
      <c r="N45" s="3" t="s">
        <v>23</v>
      </c>
    </row>
    <row r="46" spans="1:14" x14ac:dyDescent="0.25">
      <c r="A46" s="3">
        <v>2047</v>
      </c>
      <c r="B46" s="4" t="s">
        <v>38</v>
      </c>
      <c r="C46" s="5">
        <v>45528</v>
      </c>
      <c r="D46" s="3">
        <v>10222</v>
      </c>
      <c r="E46" s="4" t="s">
        <v>19</v>
      </c>
      <c r="F46" s="3">
        <v>31</v>
      </c>
      <c r="G46" s="3" t="s">
        <v>28</v>
      </c>
      <c r="H46" s="3" t="s">
        <v>35</v>
      </c>
      <c r="I46" s="3">
        <v>54</v>
      </c>
      <c r="J46" s="3">
        <v>2.46</v>
      </c>
      <c r="K46" s="3" t="s">
        <v>31</v>
      </c>
      <c r="L46" s="4" t="s">
        <v>29</v>
      </c>
      <c r="M46" s="3">
        <v>15.8</v>
      </c>
      <c r="N46" s="3" t="s">
        <v>23</v>
      </c>
    </row>
    <row r="47" spans="1:14" x14ac:dyDescent="0.25">
      <c r="A47" s="3">
        <v>2048</v>
      </c>
      <c r="B47" s="4" t="s">
        <v>48</v>
      </c>
      <c r="C47" s="5">
        <v>45308</v>
      </c>
      <c r="D47" s="3">
        <v>10175</v>
      </c>
      <c r="E47" s="4" t="s">
        <v>19</v>
      </c>
      <c r="F47" s="3">
        <v>32</v>
      </c>
      <c r="G47" s="3" t="s">
        <v>15</v>
      </c>
      <c r="H47" s="3" t="s">
        <v>20</v>
      </c>
      <c r="I47" s="3">
        <v>54</v>
      </c>
      <c r="J47" s="3">
        <v>11.65</v>
      </c>
      <c r="K47" s="3" t="s">
        <v>31</v>
      </c>
      <c r="L47" s="4" t="s">
        <v>22</v>
      </c>
      <c r="M47" s="3">
        <v>15.8</v>
      </c>
      <c r="N47" s="3" t="s">
        <v>18</v>
      </c>
    </row>
    <row r="48" spans="1:14" x14ac:dyDescent="0.25">
      <c r="A48" s="3">
        <v>2049</v>
      </c>
      <c r="B48" s="4" t="s">
        <v>44</v>
      </c>
      <c r="C48" s="5">
        <v>45594</v>
      </c>
      <c r="D48" s="3">
        <v>10084</v>
      </c>
      <c r="E48" s="4" t="s">
        <v>19</v>
      </c>
      <c r="F48" s="3">
        <v>30</v>
      </c>
      <c r="G48" s="3" t="s">
        <v>15</v>
      </c>
      <c r="H48" s="3" t="s">
        <v>14</v>
      </c>
      <c r="I48" s="3">
        <v>58</v>
      </c>
      <c r="J48" s="3">
        <v>9.81</v>
      </c>
      <c r="K48" s="3" t="s">
        <v>16</v>
      </c>
      <c r="L48" s="4" t="s">
        <v>29</v>
      </c>
      <c r="M48" s="3">
        <v>14.6</v>
      </c>
      <c r="N48" s="3" t="s">
        <v>18</v>
      </c>
    </row>
    <row r="49" spans="1:14" x14ac:dyDescent="0.25">
      <c r="A49" s="3">
        <v>2050</v>
      </c>
      <c r="B49" s="4" t="s">
        <v>44</v>
      </c>
      <c r="C49" s="5">
        <v>45589</v>
      </c>
      <c r="D49" s="3">
        <v>10360</v>
      </c>
      <c r="E49" s="4" t="s">
        <v>19</v>
      </c>
      <c r="F49" s="3">
        <v>26</v>
      </c>
      <c r="G49" s="3" t="s">
        <v>24</v>
      </c>
      <c r="H49" s="3" t="s">
        <v>33</v>
      </c>
      <c r="I49" s="3">
        <v>27</v>
      </c>
      <c r="J49" s="3">
        <v>13.91</v>
      </c>
      <c r="K49" s="3" t="s">
        <v>16</v>
      </c>
      <c r="L49" s="4" t="s">
        <v>29</v>
      </c>
      <c r="M49" s="3">
        <v>8.4</v>
      </c>
      <c r="N49" s="3" t="s">
        <v>23</v>
      </c>
    </row>
    <row r="50" spans="1:14" x14ac:dyDescent="0.25">
      <c r="A50" s="3">
        <v>2051</v>
      </c>
      <c r="B50" s="4" t="s">
        <v>45</v>
      </c>
      <c r="C50" s="5">
        <v>45469</v>
      </c>
      <c r="D50" s="3">
        <v>10036</v>
      </c>
      <c r="E50" s="4" t="s">
        <v>13</v>
      </c>
      <c r="F50" s="3">
        <v>35</v>
      </c>
      <c r="G50" s="3" t="s">
        <v>15</v>
      </c>
      <c r="H50" s="3" t="s">
        <v>35</v>
      </c>
      <c r="I50" s="3">
        <v>52</v>
      </c>
      <c r="J50" s="3">
        <v>11.6</v>
      </c>
      <c r="K50" s="3" t="s">
        <v>16</v>
      </c>
      <c r="L50" s="4" t="s">
        <v>17</v>
      </c>
      <c r="M50" s="3">
        <v>13.4</v>
      </c>
      <c r="N50" s="3" t="s">
        <v>26</v>
      </c>
    </row>
    <row r="51" spans="1:14" x14ac:dyDescent="0.25">
      <c r="A51" s="3">
        <v>2052</v>
      </c>
      <c r="B51" s="4" t="s">
        <v>43</v>
      </c>
      <c r="C51" s="5">
        <v>45547</v>
      </c>
      <c r="D51" s="3">
        <v>10381</v>
      </c>
      <c r="E51" s="4" t="s">
        <v>19</v>
      </c>
      <c r="F51" s="3">
        <v>47</v>
      </c>
      <c r="G51" s="3" t="s">
        <v>28</v>
      </c>
      <c r="H51" s="3" t="s">
        <v>14</v>
      </c>
      <c r="I51" s="3">
        <v>25</v>
      </c>
      <c r="J51" s="3">
        <v>5.88</v>
      </c>
      <c r="K51" s="3" t="s">
        <v>16</v>
      </c>
      <c r="L51" s="4" t="s">
        <v>29</v>
      </c>
      <c r="M51" s="3">
        <v>8</v>
      </c>
      <c r="N51" s="3" t="s">
        <v>26</v>
      </c>
    </row>
    <row r="52" spans="1:14" x14ac:dyDescent="0.25">
      <c r="A52" s="3">
        <v>2053</v>
      </c>
      <c r="B52" s="4" t="s">
        <v>39</v>
      </c>
      <c r="C52" s="5">
        <v>45428</v>
      </c>
      <c r="D52" s="3">
        <v>10156</v>
      </c>
      <c r="E52" s="4" t="s">
        <v>19</v>
      </c>
      <c r="F52" s="3">
        <v>42</v>
      </c>
      <c r="G52" s="3" t="s">
        <v>27</v>
      </c>
      <c r="H52" s="3" t="s">
        <v>34</v>
      </c>
      <c r="I52" s="3">
        <v>47</v>
      </c>
      <c r="J52" s="3">
        <v>4.58</v>
      </c>
      <c r="K52" s="3" t="s">
        <v>16</v>
      </c>
      <c r="L52" s="4" t="s">
        <v>17</v>
      </c>
      <c r="M52" s="3">
        <v>12.4</v>
      </c>
      <c r="N52" s="3" t="s">
        <v>30</v>
      </c>
    </row>
    <row r="53" spans="1:14" x14ac:dyDescent="0.25">
      <c r="A53" s="3">
        <v>2054</v>
      </c>
      <c r="B53" s="4" t="s">
        <v>37</v>
      </c>
      <c r="C53" s="5">
        <v>45404</v>
      </c>
      <c r="D53" s="3">
        <v>10078</v>
      </c>
      <c r="E53" s="4" t="s">
        <v>19</v>
      </c>
      <c r="F53" s="3">
        <v>23</v>
      </c>
      <c r="G53" s="3" t="s">
        <v>15</v>
      </c>
      <c r="H53" s="3" t="s">
        <v>35</v>
      </c>
      <c r="I53" s="3">
        <v>39</v>
      </c>
      <c r="J53" s="3">
        <v>14.28</v>
      </c>
      <c r="K53" s="3" t="s">
        <v>16</v>
      </c>
      <c r="L53" s="4" t="s">
        <v>29</v>
      </c>
      <c r="M53" s="3">
        <v>10.8</v>
      </c>
      <c r="N53" s="3" t="s">
        <v>26</v>
      </c>
    </row>
    <row r="54" spans="1:14" x14ac:dyDescent="0.25">
      <c r="A54" s="3">
        <v>2055</v>
      </c>
      <c r="B54" s="4" t="s">
        <v>46</v>
      </c>
      <c r="C54" s="5">
        <v>45370</v>
      </c>
      <c r="D54" s="3">
        <v>10026</v>
      </c>
      <c r="E54" s="4" t="s">
        <v>13</v>
      </c>
      <c r="F54" s="3">
        <v>22</v>
      </c>
      <c r="G54" s="3" t="s">
        <v>32</v>
      </c>
      <c r="H54" s="3" t="s">
        <v>21</v>
      </c>
      <c r="I54" s="3">
        <v>11</v>
      </c>
      <c r="J54" s="3">
        <v>4.78</v>
      </c>
      <c r="K54" s="3" t="s">
        <v>31</v>
      </c>
      <c r="L54" s="4" t="s">
        <v>17</v>
      </c>
      <c r="M54" s="3">
        <v>7.2</v>
      </c>
      <c r="N54" s="3" t="s">
        <v>23</v>
      </c>
    </row>
    <row r="55" spans="1:14" x14ac:dyDescent="0.25">
      <c r="A55" s="3">
        <v>2056</v>
      </c>
      <c r="B55" s="4" t="s">
        <v>41</v>
      </c>
      <c r="C55" s="5">
        <v>45618</v>
      </c>
      <c r="D55" s="3">
        <v>10258</v>
      </c>
      <c r="E55" s="4" t="s">
        <v>19</v>
      </c>
      <c r="F55" s="3">
        <v>29</v>
      </c>
      <c r="G55" s="3" t="s">
        <v>15</v>
      </c>
      <c r="H55" s="3" t="s">
        <v>24</v>
      </c>
      <c r="I55" s="3">
        <v>52</v>
      </c>
      <c r="J55" s="3">
        <v>9.3000000000000007</v>
      </c>
      <c r="K55" s="3" t="s">
        <v>31</v>
      </c>
      <c r="L55" s="4" t="s">
        <v>29</v>
      </c>
      <c r="M55" s="3">
        <v>15.4</v>
      </c>
      <c r="N55" s="3" t="s">
        <v>26</v>
      </c>
    </row>
    <row r="56" spans="1:14" x14ac:dyDescent="0.25">
      <c r="A56" s="3">
        <v>2057</v>
      </c>
      <c r="B56" s="4" t="s">
        <v>47</v>
      </c>
      <c r="C56" s="5">
        <v>45496</v>
      </c>
      <c r="D56" s="3">
        <v>10171</v>
      </c>
      <c r="E56" s="4" t="s">
        <v>13</v>
      </c>
      <c r="F56" s="3">
        <v>45</v>
      </c>
      <c r="G56" s="3" t="s">
        <v>14</v>
      </c>
      <c r="H56" s="3" t="s">
        <v>33</v>
      </c>
      <c r="I56" s="3">
        <v>31</v>
      </c>
      <c r="J56" s="3">
        <v>7.1</v>
      </c>
      <c r="K56" s="3" t="s">
        <v>16</v>
      </c>
      <c r="L56" s="4" t="s">
        <v>29</v>
      </c>
      <c r="M56" s="3">
        <v>9.1999999999999993</v>
      </c>
      <c r="N56" s="3" t="s">
        <v>26</v>
      </c>
    </row>
    <row r="57" spans="1:14" x14ac:dyDescent="0.25">
      <c r="A57" s="3">
        <v>2058</v>
      </c>
      <c r="B57" s="4" t="s">
        <v>45</v>
      </c>
      <c r="C57" s="5">
        <v>45458</v>
      </c>
      <c r="D57" s="3">
        <v>10396</v>
      </c>
      <c r="E57" s="4" t="s">
        <v>13</v>
      </c>
      <c r="F57" s="3">
        <v>24</v>
      </c>
      <c r="G57" s="3" t="s">
        <v>24</v>
      </c>
      <c r="H57" s="3" t="s">
        <v>34</v>
      </c>
      <c r="I57" s="3">
        <v>50</v>
      </c>
      <c r="J57" s="3">
        <v>3.86</v>
      </c>
      <c r="K57" s="3" t="s">
        <v>16</v>
      </c>
      <c r="L57" s="4" t="s">
        <v>29</v>
      </c>
      <c r="M57" s="3">
        <v>13</v>
      </c>
      <c r="N57" s="3" t="s">
        <v>18</v>
      </c>
    </row>
    <row r="58" spans="1:14" x14ac:dyDescent="0.25">
      <c r="A58" s="3">
        <v>2059</v>
      </c>
      <c r="B58" s="4" t="s">
        <v>41</v>
      </c>
      <c r="C58" s="5">
        <v>45611</v>
      </c>
      <c r="D58" s="3">
        <v>10303</v>
      </c>
      <c r="E58" s="4" t="s">
        <v>19</v>
      </c>
      <c r="F58" s="3">
        <v>54</v>
      </c>
      <c r="G58" s="3" t="s">
        <v>14</v>
      </c>
      <c r="H58" s="3" t="s">
        <v>25</v>
      </c>
      <c r="I58" s="3">
        <v>50</v>
      </c>
      <c r="J58" s="3">
        <v>4.87</v>
      </c>
      <c r="K58" s="3" t="s">
        <v>16</v>
      </c>
      <c r="L58" s="4" t="s">
        <v>17</v>
      </c>
      <c r="M58" s="3">
        <v>13</v>
      </c>
      <c r="N58" s="3" t="s">
        <v>30</v>
      </c>
    </row>
    <row r="59" spans="1:14" x14ac:dyDescent="0.25">
      <c r="A59" s="3">
        <v>2060</v>
      </c>
      <c r="B59" s="4" t="s">
        <v>44</v>
      </c>
      <c r="C59" s="5">
        <v>45577</v>
      </c>
      <c r="D59" s="3">
        <v>10491</v>
      </c>
      <c r="E59" s="4" t="s">
        <v>13</v>
      </c>
      <c r="F59" s="3">
        <v>19</v>
      </c>
      <c r="G59" s="3" t="s">
        <v>33</v>
      </c>
      <c r="H59" s="3" t="s">
        <v>28</v>
      </c>
      <c r="I59" s="3">
        <v>54</v>
      </c>
      <c r="J59" s="3">
        <v>12.9</v>
      </c>
      <c r="K59" s="3" t="s">
        <v>31</v>
      </c>
      <c r="L59" s="4" t="s">
        <v>29</v>
      </c>
      <c r="M59" s="3">
        <v>15.8</v>
      </c>
      <c r="N59" s="3" t="s">
        <v>18</v>
      </c>
    </row>
    <row r="60" spans="1:14" x14ac:dyDescent="0.25">
      <c r="A60" s="3">
        <v>2061</v>
      </c>
      <c r="B60" s="4" t="s">
        <v>42</v>
      </c>
      <c r="C60" s="5">
        <v>45655</v>
      </c>
      <c r="D60" s="3">
        <v>10299</v>
      </c>
      <c r="E60" s="4" t="s">
        <v>13</v>
      </c>
      <c r="F60" s="3">
        <v>38</v>
      </c>
      <c r="G60" s="3" t="s">
        <v>14</v>
      </c>
      <c r="H60" s="3" t="s">
        <v>28</v>
      </c>
      <c r="I60" s="3">
        <v>23</v>
      </c>
      <c r="J60" s="3">
        <v>13.47</v>
      </c>
      <c r="K60" s="3" t="s">
        <v>31</v>
      </c>
      <c r="L60" s="4" t="s">
        <v>22</v>
      </c>
      <c r="M60" s="3">
        <v>9.6</v>
      </c>
      <c r="N60" s="3" t="s">
        <v>26</v>
      </c>
    </row>
    <row r="61" spans="1:14" x14ac:dyDescent="0.25">
      <c r="A61" s="3">
        <v>2064</v>
      </c>
      <c r="B61" s="4" t="s">
        <v>41</v>
      </c>
      <c r="C61" s="5">
        <v>45622</v>
      </c>
      <c r="D61" s="3">
        <v>10448</v>
      </c>
      <c r="E61" s="4" t="s">
        <v>19</v>
      </c>
      <c r="F61" s="3">
        <v>50</v>
      </c>
      <c r="G61" s="3" t="s">
        <v>21</v>
      </c>
      <c r="H61" s="3" t="s">
        <v>32</v>
      </c>
      <c r="I61" s="3">
        <v>23</v>
      </c>
      <c r="J61" s="3">
        <v>5.81</v>
      </c>
      <c r="K61" s="3" t="s">
        <v>16</v>
      </c>
      <c r="L61" s="4" t="s">
        <v>17</v>
      </c>
      <c r="M61" s="3">
        <v>7.6</v>
      </c>
      <c r="N61" s="3" t="s">
        <v>26</v>
      </c>
    </row>
    <row r="62" spans="1:14" x14ac:dyDescent="0.25">
      <c r="A62" s="3">
        <v>2066</v>
      </c>
      <c r="B62" s="4" t="s">
        <v>37</v>
      </c>
      <c r="C62" s="5">
        <v>45409</v>
      </c>
      <c r="D62" s="3">
        <v>10259</v>
      </c>
      <c r="E62" s="4" t="s">
        <v>13</v>
      </c>
      <c r="F62" s="3">
        <v>27</v>
      </c>
      <c r="G62" s="3" t="s">
        <v>32</v>
      </c>
      <c r="H62" s="3" t="s">
        <v>21</v>
      </c>
      <c r="I62" s="3">
        <v>45</v>
      </c>
      <c r="J62" s="3">
        <v>6.08</v>
      </c>
      <c r="K62" s="3" t="s">
        <v>16</v>
      </c>
      <c r="L62" s="4" t="s">
        <v>17</v>
      </c>
      <c r="M62" s="3">
        <v>12</v>
      </c>
      <c r="N62" s="3" t="s">
        <v>18</v>
      </c>
    </row>
    <row r="63" spans="1:14" x14ac:dyDescent="0.25">
      <c r="A63" s="3">
        <v>2067</v>
      </c>
      <c r="B63" s="4" t="s">
        <v>39</v>
      </c>
      <c r="C63" s="5">
        <v>45440</v>
      </c>
      <c r="D63" s="3">
        <v>10492</v>
      </c>
      <c r="E63" s="4" t="s">
        <v>13</v>
      </c>
      <c r="F63" s="3">
        <v>40</v>
      </c>
      <c r="G63" s="3" t="s">
        <v>14</v>
      </c>
      <c r="H63" s="3" t="s">
        <v>33</v>
      </c>
      <c r="I63" s="3">
        <v>52</v>
      </c>
      <c r="J63" s="3">
        <v>11.91</v>
      </c>
      <c r="K63" s="3" t="s">
        <v>16</v>
      </c>
      <c r="L63" s="4" t="s">
        <v>29</v>
      </c>
      <c r="M63" s="3">
        <v>13.4</v>
      </c>
      <c r="N63" s="3" t="s">
        <v>18</v>
      </c>
    </row>
    <row r="64" spans="1:14" x14ac:dyDescent="0.25">
      <c r="A64" s="3">
        <v>2068</v>
      </c>
      <c r="B64" s="4" t="s">
        <v>48</v>
      </c>
      <c r="C64" s="5">
        <v>45297</v>
      </c>
      <c r="D64" s="3">
        <v>10124</v>
      </c>
      <c r="E64" s="4" t="s">
        <v>19</v>
      </c>
      <c r="F64" s="3">
        <v>51</v>
      </c>
      <c r="G64" s="3" t="s">
        <v>34</v>
      </c>
      <c r="H64" s="3" t="s">
        <v>15</v>
      </c>
      <c r="I64" s="3">
        <v>33</v>
      </c>
      <c r="J64" s="3">
        <v>11.53</v>
      </c>
      <c r="K64" s="3" t="s">
        <v>16</v>
      </c>
      <c r="L64" s="4" t="s">
        <v>17</v>
      </c>
      <c r="M64" s="3">
        <v>9.6</v>
      </c>
      <c r="N64" s="3" t="s">
        <v>26</v>
      </c>
    </row>
    <row r="65" spans="1:14" x14ac:dyDescent="0.25">
      <c r="A65" s="3">
        <v>2069</v>
      </c>
      <c r="B65" s="4" t="s">
        <v>40</v>
      </c>
      <c r="C65" s="5">
        <v>45340</v>
      </c>
      <c r="D65" s="3">
        <v>10270</v>
      </c>
      <c r="E65" s="4" t="s">
        <v>13</v>
      </c>
      <c r="F65" s="3">
        <v>21</v>
      </c>
      <c r="G65" s="3" t="s">
        <v>25</v>
      </c>
      <c r="H65" s="3" t="s">
        <v>24</v>
      </c>
      <c r="I65" s="3">
        <v>12</v>
      </c>
      <c r="J65" s="3">
        <v>3.14</v>
      </c>
      <c r="K65" s="3" t="s">
        <v>31</v>
      </c>
      <c r="L65" s="4" t="s">
        <v>17</v>
      </c>
      <c r="M65" s="3">
        <v>7.4</v>
      </c>
      <c r="N65" s="3" t="s">
        <v>23</v>
      </c>
    </row>
    <row r="66" spans="1:14" x14ac:dyDescent="0.25">
      <c r="A66" s="3">
        <v>2070</v>
      </c>
      <c r="B66" s="4" t="s">
        <v>45</v>
      </c>
      <c r="C66" s="5">
        <v>45461</v>
      </c>
      <c r="D66" s="3">
        <v>10062</v>
      </c>
      <c r="E66" s="4" t="s">
        <v>13</v>
      </c>
      <c r="F66" s="3">
        <v>35</v>
      </c>
      <c r="G66" s="3" t="s">
        <v>21</v>
      </c>
      <c r="H66" s="3" t="s">
        <v>21</v>
      </c>
      <c r="I66" s="3">
        <v>49</v>
      </c>
      <c r="J66" s="3">
        <v>13.32</v>
      </c>
      <c r="K66" s="3" t="s">
        <v>16</v>
      </c>
      <c r="L66" s="4" t="s">
        <v>29</v>
      </c>
      <c r="M66" s="3">
        <v>12.8</v>
      </c>
      <c r="N66" s="3" t="s">
        <v>18</v>
      </c>
    </row>
    <row r="67" spans="1:14" x14ac:dyDescent="0.25">
      <c r="A67" s="3">
        <v>2071</v>
      </c>
      <c r="B67" s="4" t="s">
        <v>42</v>
      </c>
      <c r="C67" s="5">
        <v>45636</v>
      </c>
      <c r="D67" s="3">
        <v>10433</v>
      </c>
      <c r="E67" s="4" t="s">
        <v>19</v>
      </c>
      <c r="F67" s="3">
        <v>31</v>
      </c>
      <c r="G67" s="3" t="s">
        <v>28</v>
      </c>
      <c r="H67" s="3" t="s">
        <v>15</v>
      </c>
      <c r="I67" s="3">
        <v>43</v>
      </c>
      <c r="J67" s="3">
        <v>11.44</v>
      </c>
      <c r="K67" s="3" t="s">
        <v>31</v>
      </c>
      <c r="L67" s="4" t="s">
        <v>29</v>
      </c>
      <c r="M67" s="3">
        <v>13.6</v>
      </c>
      <c r="N67" s="3" t="s">
        <v>23</v>
      </c>
    </row>
    <row r="68" spans="1:14" x14ac:dyDescent="0.25">
      <c r="A68" s="3">
        <v>2073</v>
      </c>
      <c r="B68" s="4" t="s">
        <v>46</v>
      </c>
      <c r="C68" s="5">
        <v>45382</v>
      </c>
      <c r="D68" s="3">
        <v>10283</v>
      </c>
      <c r="E68" s="4" t="s">
        <v>19</v>
      </c>
      <c r="F68" s="3">
        <v>36</v>
      </c>
      <c r="G68" s="3" t="s">
        <v>24</v>
      </c>
      <c r="H68" s="3" t="s">
        <v>15</v>
      </c>
      <c r="I68" s="3">
        <v>5</v>
      </c>
      <c r="J68" s="3">
        <v>8.7799999999999994</v>
      </c>
      <c r="K68" s="3" t="s">
        <v>31</v>
      </c>
      <c r="L68" s="4" t="s">
        <v>17</v>
      </c>
      <c r="M68" s="3">
        <v>6</v>
      </c>
      <c r="N68" s="3" t="s">
        <v>26</v>
      </c>
    </row>
    <row r="69" spans="1:14" x14ac:dyDescent="0.25">
      <c r="A69" s="3">
        <v>2074</v>
      </c>
      <c r="B69" s="4" t="s">
        <v>41</v>
      </c>
      <c r="C69" s="5">
        <v>45623</v>
      </c>
      <c r="D69" s="3">
        <v>10185</v>
      </c>
      <c r="E69" s="4" t="s">
        <v>19</v>
      </c>
      <c r="F69" s="3">
        <v>18</v>
      </c>
      <c r="G69" s="3" t="s">
        <v>33</v>
      </c>
      <c r="H69" s="3" t="s">
        <v>34</v>
      </c>
      <c r="I69" s="3">
        <v>13</v>
      </c>
      <c r="J69" s="3">
        <v>9.9</v>
      </c>
      <c r="K69" s="3" t="s">
        <v>31</v>
      </c>
      <c r="L69" s="4" t="s">
        <v>29</v>
      </c>
      <c r="M69" s="3">
        <v>7.6</v>
      </c>
      <c r="N69" s="3" t="s">
        <v>30</v>
      </c>
    </row>
    <row r="70" spans="1:14" x14ac:dyDescent="0.25">
      <c r="A70" s="3">
        <v>2075</v>
      </c>
      <c r="B70" s="4" t="s">
        <v>39</v>
      </c>
      <c r="C70" s="5">
        <v>45426</v>
      </c>
      <c r="D70" s="3">
        <v>10021</v>
      </c>
      <c r="E70" s="4" t="s">
        <v>13</v>
      </c>
      <c r="F70" s="3">
        <v>21</v>
      </c>
      <c r="G70" s="3" t="s">
        <v>21</v>
      </c>
      <c r="H70" s="3" t="s">
        <v>27</v>
      </c>
      <c r="I70" s="3">
        <v>45</v>
      </c>
      <c r="J70" s="3">
        <v>9.48</v>
      </c>
      <c r="K70" s="3" t="s">
        <v>31</v>
      </c>
      <c r="L70" s="4" t="s">
        <v>22</v>
      </c>
      <c r="M70" s="3">
        <v>14</v>
      </c>
      <c r="N70" s="3" t="s">
        <v>26</v>
      </c>
    </row>
    <row r="71" spans="1:14" x14ac:dyDescent="0.25">
      <c r="A71" s="3">
        <v>2076</v>
      </c>
      <c r="B71" s="4" t="s">
        <v>45</v>
      </c>
      <c r="C71" s="5">
        <v>45458</v>
      </c>
      <c r="D71" s="3">
        <v>10307</v>
      </c>
      <c r="E71" s="4" t="s">
        <v>19</v>
      </c>
      <c r="F71" s="3">
        <v>46</v>
      </c>
      <c r="G71" s="3" t="s">
        <v>25</v>
      </c>
      <c r="H71" s="3" t="s">
        <v>32</v>
      </c>
      <c r="I71" s="3">
        <v>29</v>
      </c>
      <c r="J71" s="3">
        <v>14.51</v>
      </c>
      <c r="K71" s="3" t="s">
        <v>16</v>
      </c>
      <c r="L71" s="4" t="s">
        <v>29</v>
      </c>
      <c r="M71" s="3">
        <v>8.8000000000000007</v>
      </c>
      <c r="N71" s="3" t="s">
        <v>26</v>
      </c>
    </row>
    <row r="72" spans="1:14" x14ac:dyDescent="0.25">
      <c r="A72" s="3">
        <v>2077</v>
      </c>
      <c r="B72" s="4" t="s">
        <v>44</v>
      </c>
      <c r="C72" s="5">
        <v>45588</v>
      </c>
      <c r="D72" s="3">
        <v>10046</v>
      </c>
      <c r="E72" s="4" t="s">
        <v>19</v>
      </c>
      <c r="F72" s="3">
        <v>23</v>
      </c>
      <c r="G72" s="3" t="s">
        <v>28</v>
      </c>
      <c r="H72" s="3" t="s">
        <v>24</v>
      </c>
      <c r="I72" s="3">
        <v>38</v>
      </c>
      <c r="J72" s="3">
        <v>2.68</v>
      </c>
      <c r="K72" s="3" t="s">
        <v>16</v>
      </c>
      <c r="L72" s="4" t="s">
        <v>22</v>
      </c>
      <c r="M72" s="3">
        <v>10.6</v>
      </c>
      <c r="N72" s="3" t="s">
        <v>26</v>
      </c>
    </row>
    <row r="73" spans="1:14" x14ac:dyDescent="0.25">
      <c r="A73" s="3">
        <v>2078</v>
      </c>
      <c r="B73" s="4" t="s">
        <v>46</v>
      </c>
      <c r="C73" s="5">
        <v>45361</v>
      </c>
      <c r="D73" s="3">
        <v>10407</v>
      </c>
      <c r="E73" s="4" t="s">
        <v>13</v>
      </c>
      <c r="F73" s="3">
        <v>55</v>
      </c>
      <c r="G73" s="3" t="s">
        <v>14</v>
      </c>
      <c r="H73" s="3" t="s">
        <v>34</v>
      </c>
      <c r="I73" s="3">
        <v>58</v>
      </c>
      <c r="J73" s="3">
        <v>12.84</v>
      </c>
      <c r="K73" s="3" t="s">
        <v>16</v>
      </c>
      <c r="L73" s="4" t="s">
        <v>29</v>
      </c>
      <c r="M73" s="3">
        <v>14.6</v>
      </c>
      <c r="N73" s="3" t="s">
        <v>18</v>
      </c>
    </row>
    <row r="74" spans="1:14" x14ac:dyDescent="0.25">
      <c r="A74" s="3">
        <v>2079</v>
      </c>
      <c r="B74" s="4" t="s">
        <v>40</v>
      </c>
      <c r="C74" s="5">
        <v>45337</v>
      </c>
      <c r="D74" s="3">
        <v>10166</v>
      </c>
      <c r="E74" s="4" t="s">
        <v>13</v>
      </c>
      <c r="F74" s="3">
        <v>34</v>
      </c>
      <c r="G74" s="3" t="s">
        <v>21</v>
      </c>
      <c r="H74" s="3" t="s">
        <v>20</v>
      </c>
      <c r="I74" s="3">
        <v>52</v>
      </c>
      <c r="J74" s="3">
        <v>3.21</v>
      </c>
      <c r="K74" s="3" t="s">
        <v>31</v>
      </c>
      <c r="L74" s="4" t="s">
        <v>17</v>
      </c>
      <c r="M74" s="3">
        <v>15.4</v>
      </c>
      <c r="N74" s="3" t="s">
        <v>26</v>
      </c>
    </row>
    <row r="75" spans="1:14" x14ac:dyDescent="0.25">
      <c r="A75" s="3">
        <v>2080</v>
      </c>
      <c r="B75" s="4" t="s">
        <v>48</v>
      </c>
      <c r="C75" s="5">
        <v>45301</v>
      </c>
      <c r="D75" s="3">
        <v>10179</v>
      </c>
      <c r="E75" s="4" t="s">
        <v>13</v>
      </c>
      <c r="F75" s="3">
        <v>53</v>
      </c>
      <c r="G75" s="3" t="s">
        <v>35</v>
      </c>
      <c r="H75" s="3" t="s">
        <v>32</v>
      </c>
      <c r="I75" s="3">
        <v>46</v>
      </c>
      <c r="J75" s="3">
        <v>5.81</v>
      </c>
      <c r="K75" s="3" t="s">
        <v>31</v>
      </c>
      <c r="L75" s="4" t="s">
        <v>22</v>
      </c>
      <c r="M75" s="3">
        <v>14.2</v>
      </c>
      <c r="N75" s="3" t="s">
        <v>18</v>
      </c>
    </row>
    <row r="76" spans="1:14" x14ac:dyDescent="0.25">
      <c r="A76" s="3">
        <v>2081</v>
      </c>
      <c r="B76" s="4" t="s">
        <v>42</v>
      </c>
      <c r="C76" s="5">
        <v>45636</v>
      </c>
      <c r="D76" s="3">
        <v>10428</v>
      </c>
      <c r="E76" s="4" t="s">
        <v>13</v>
      </c>
      <c r="F76" s="3">
        <v>24</v>
      </c>
      <c r="G76" s="3" t="s">
        <v>35</v>
      </c>
      <c r="H76" s="3" t="s">
        <v>34</v>
      </c>
      <c r="I76" s="3">
        <v>6</v>
      </c>
      <c r="J76" s="3">
        <v>12.51</v>
      </c>
      <c r="K76" s="3" t="s">
        <v>31</v>
      </c>
      <c r="L76" s="4" t="s">
        <v>22</v>
      </c>
      <c r="M76" s="3">
        <v>6.2</v>
      </c>
      <c r="N76" s="3" t="s">
        <v>18</v>
      </c>
    </row>
    <row r="77" spans="1:14" x14ac:dyDescent="0.25">
      <c r="A77" s="3">
        <v>2082</v>
      </c>
      <c r="B77" s="4" t="s">
        <v>41</v>
      </c>
      <c r="C77" s="5">
        <v>45612</v>
      </c>
      <c r="D77" s="3">
        <v>10025</v>
      </c>
      <c r="E77" s="4" t="s">
        <v>19</v>
      </c>
      <c r="F77" s="3">
        <v>19</v>
      </c>
      <c r="G77" s="3" t="s">
        <v>28</v>
      </c>
      <c r="H77" s="3" t="s">
        <v>35</v>
      </c>
      <c r="I77" s="3">
        <v>59</v>
      </c>
      <c r="J77" s="3">
        <v>2.68</v>
      </c>
      <c r="K77" s="3" t="s">
        <v>31</v>
      </c>
      <c r="L77" s="4" t="s">
        <v>22</v>
      </c>
      <c r="M77" s="3">
        <v>16.8</v>
      </c>
      <c r="N77" s="3" t="s">
        <v>23</v>
      </c>
    </row>
    <row r="78" spans="1:14" x14ac:dyDescent="0.25">
      <c r="A78" s="3">
        <v>2083</v>
      </c>
      <c r="B78" s="4" t="s">
        <v>41</v>
      </c>
      <c r="C78" s="5">
        <v>45620</v>
      </c>
      <c r="D78" s="3">
        <v>10490</v>
      </c>
      <c r="E78" s="4" t="s">
        <v>19</v>
      </c>
      <c r="F78" s="3">
        <v>48</v>
      </c>
      <c r="G78" s="3" t="s">
        <v>34</v>
      </c>
      <c r="H78" s="3" t="s">
        <v>28</v>
      </c>
      <c r="I78" s="3">
        <v>55</v>
      </c>
      <c r="J78" s="3">
        <v>7.08</v>
      </c>
      <c r="K78" s="3" t="s">
        <v>16</v>
      </c>
      <c r="L78" s="4" t="s">
        <v>17</v>
      </c>
      <c r="M78" s="3">
        <v>14</v>
      </c>
      <c r="N78" s="3" t="s">
        <v>18</v>
      </c>
    </row>
    <row r="79" spans="1:14" x14ac:dyDescent="0.25">
      <c r="A79" s="3">
        <v>2084</v>
      </c>
      <c r="B79" s="4" t="s">
        <v>41</v>
      </c>
      <c r="C79" s="5">
        <v>45622</v>
      </c>
      <c r="D79" s="3">
        <v>10387</v>
      </c>
      <c r="E79" s="4" t="s">
        <v>19</v>
      </c>
      <c r="F79" s="3">
        <v>39</v>
      </c>
      <c r="G79" s="3" t="s">
        <v>20</v>
      </c>
      <c r="H79" s="3" t="s">
        <v>35</v>
      </c>
      <c r="I79" s="3">
        <v>47</v>
      </c>
      <c r="J79" s="3">
        <v>6.13</v>
      </c>
      <c r="K79" s="3" t="s">
        <v>31</v>
      </c>
      <c r="L79" s="4" t="s">
        <v>29</v>
      </c>
      <c r="M79" s="3">
        <v>14.4</v>
      </c>
      <c r="N79" s="3" t="s">
        <v>18</v>
      </c>
    </row>
    <row r="80" spans="1:14" x14ac:dyDescent="0.25">
      <c r="A80" s="3">
        <v>2085</v>
      </c>
      <c r="B80" s="4" t="s">
        <v>48</v>
      </c>
      <c r="C80" s="5">
        <v>45300</v>
      </c>
      <c r="D80" s="3">
        <v>10065</v>
      </c>
      <c r="E80" s="4" t="s">
        <v>13</v>
      </c>
      <c r="F80" s="3">
        <v>27</v>
      </c>
      <c r="G80" s="3" t="s">
        <v>27</v>
      </c>
      <c r="H80" s="3" t="s">
        <v>33</v>
      </c>
      <c r="I80" s="3">
        <v>8</v>
      </c>
      <c r="J80" s="3">
        <v>11.67</v>
      </c>
      <c r="K80" s="3" t="s">
        <v>31</v>
      </c>
      <c r="L80" s="4" t="s">
        <v>17</v>
      </c>
      <c r="M80" s="3">
        <v>6.6</v>
      </c>
      <c r="N80" s="3" t="s">
        <v>18</v>
      </c>
    </row>
    <row r="81" spans="1:14" x14ac:dyDescent="0.25">
      <c r="A81" s="3">
        <v>2086</v>
      </c>
      <c r="B81" s="4" t="s">
        <v>41</v>
      </c>
      <c r="C81" s="5">
        <v>45622</v>
      </c>
      <c r="D81" s="3">
        <v>10083</v>
      </c>
      <c r="E81" s="4" t="s">
        <v>13</v>
      </c>
      <c r="F81" s="3">
        <v>55</v>
      </c>
      <c r="G81" s="3" t="s">
        <v>27</v>
      </c>
      <c r="H81" s="3" t="s">
        <v>20</v>
      </c>
      <c r="I81" s="3">
        <v>34</v>
      </c>
      <c r="J81" s="3">
        <v>12.83</v>
      </c>
      <c r="K81" s="3" t="s">
        <v>31</v>
      </c>
      <c r="L81" s="4" t="s">
        <v>17</v>
      </c>
      <c r="M81" s="3">
        <v>11.8</v>
      </c>
      <c r="N81" s="3" t="s">
        <v>23</v>
      </c>
    </row>
    <row r="82" spans="1:14" x14ac:dyDescent="0.25">
      <c r="A82" s="3">
        <v>2087</v>
      </c>
      <c r="B82" s="4" t="s">
        <v>41</v>
      </c>
      <c r="C82" s="5">
        <v>45613</v>
      </c>
      <c r="D82" s="3">
        <v>10314</v>
      </c>
      <c r="E82" s="4" t="s">
        <v>19</v>
      </c>
      <c r="F82" s="3">
        <v>21</v>
      </c>
      <c r="G82" s="3" t="s">
        <v>33</v>
      </c>
      <c r="H82" s="3" t="s">
        <v>27</v>
      </c>
      <c r="I82" s="3">
        <v>7</v>
      </c>
      <c r="J82" s="3">
        <v>5.72</v>
      </c>
      <c r="K82" s="3" t="s">
        <v>16</v>
      </c>
      <c r="L82" s="4" t="s">
        <v>17</v>
      </c>
      <c r="M82" s="3">
        <v>4.4000000000000004</v>
      </c>
      <c r="N82" s="3" t="s">
        <v>26</v>
      </c>
    </row>
    <row r="83" spans="1:14" x14ac:dyDescent="0.25">
      <c r="A83" s="3">
        <v>2088</v>
      </c>
      <c r="B83" s="4" t="s">
        <v>42</v>
      </c>
      <c r="C83" s="5">
        <v>45647</v>
      </c>
      <c r="D83" s="3">
        <v>10005</v>
      </c>
      <c r="E83" s="4" t="s">
        <v>13</v>
      </c>
      <c r="F83" s="3">
        <v>51</v>
      </c>
      <c r="G83" s="3" t="s">
        <v>33</v>
      </c>
      <c r="H83" s="3" t="s">
        <v>33</v>
      </c>
      <c r="I83" s="3">
        <v>59</v>
      </c>
      <c r="J83" s="3">
        <v>6.2</v>
      </c>
      <c r="K83" s="3" t="s">
        <v>31</v>
      </c>
      <c r="L83" s="4" t="s">
        <v>22</v>
      </c>
      <c r="M83" s="3">
        <v>16.8</v>
      </c>
      <c r="N83" s="3" t="s">
        <v>23</v>
      </c>
    </row>
    <row r="84" spans="1:14" x14ac:dyDescent="0.25">
      <c r="A84" s="3">
        <v>2091</v>
      </c>
      <c r="B84" s="4" t="s">
        <v>38</v>
      </c>
      <c r="C84" s="5">
        <v>45518</v>
      </c>
      <c r="D84" s="3">
        <v>10234</v>
      </c>
      <c r="E84" s="4" t="s">
        <v>13</v>
      </c>
      <c r="F84" s="3">
        <v>51</v>
      </c>
      <c r="G84" s="3" t="s">
        <v>14</v>
      </c>
      <c r="H84" s="3" t="s">
        <v>34</v>
      </c>
      <c r="I84" s="3">
        <v>21</v>
      </c>
      <c r="J84" s="3">
        <v>11.48</v>
      </c>
      <c r="K84" s="3" t="s">
        <v>16</v>
      </c>
      <c r="L84" s="4" t="s">
        <v>22</v>
      </c>
      <c r="M84" s="3">
        <v>7.2</v>
      </c>
      <c r="N84" s="3" t="s">
        <v>26</v>
      </c>
    </row>
    <row r="85" spans="1:14" x14ac:dyDescent="0.25">
      <c r="A85" s="3">
        <v>2092</v>
      </c>
      <c r="B85" s="4" t="s">
        <v>48</v>
      </c>
      <c r="C85" s="5">
        <v>45303</v>
      </c>
      <c r="D85" s="3">
        <v>10047</v>
      </c>
      <c r="E85" s="4" t="s">
        <v>19</v>
      </c>
      <c r="F85" s="3">
        <v>43</v>
      </c>
      <c r="G85" s="3" t="s">
        <v>27</v>
      </c>
      <c r="H85" s="3" t="s">
        <v>27</v>
      </c>
      <c r="I85" s="3">
        <v>55</v>
      </c>
      <c r="J85" s="3">
        <v>9.98</v>
      </c>
      <c r="K85" s="3" t="s">
        <v>16</v>
      </c>
      <c r="L85" s="4" t="s">
        <v>29</v>
      </c>
      <c r="M85" s="3">
        <v>14</v>
      </c>
      <c r="N85" s="3" t="s">
        <v>30</v>
      </c>
    </row>
    <row r="86" spans="1:14" x14ac:dyDescent="0.25">
      <c r="A86" s="3">
        <v>2093</v>
      </c>
      <c r="B86" s="4" t="s">
        <v>42</v>
      </c>
      <c r="C86" s="5">
        <v>45637</v>
      </c>
      <c r="D86" s="3">
        <v>10099</v>
      </c>
      <c r="E86" s="4" t="s">
        <v>19</v>
      </c>
      <c r="F86" s="3">
        <v>34</v>
      </c>
      <c r="G86" s="3" t="s">
        <v>33</v>
      </c>
      <c r="H86" s="3" t="s">
        <v>24</v>
      </c>
      <c r="I86" s="3">
        <v>32</v>
      </c>
      <c r="J86" s="3">
        <v>14.3</v>
      </c>
      <c r="K86" s="3" t="s">
        <v>31</v>
      </c>
      <c r="L86" s="4" t="s">
        <v>22</v>
      </c>
      <c r="M86" s="3">
        <v>11.4</v>
      </c>
      <c r="N86" s="3" t="s">
        <v>26</v>
      </c>
    </row>
    <row r="87" spans="1:14" x14ac:dyDescent="0.25">
      <c r="A87" s="3">
        <v>2095</v>
      </c>
      <c r="B87" s="4" t="s">
        <v>40</v>
      </c>
      <c r="C87" s="5">
        <v>45324</v>
      </c>
      <c r="D87" s="3">
        <v>10413</v>
      </c>
      <c r="E87" s="4" t="s">
        <v>13</v>
      </c>
      <c r="F87" s="3">
        <v>27</v>
      </c>
      <c r="G87" s="3" t="s">
        <v>25</v>
      </c>
      <c r="H87" s="3" t="s">
        <v>24</v>
      </c>
      <c r="I87" s="3">
        <v>58</v>
      </c>
      <c r="J87" s="3">
        <v>6.88</v>
      </c>
      <c r="K87" s="3" t="s">
        <v>16</v>
      </c>
      <c r="L87" s="4" t="s">
        <v>22</v>
      </c>
      <c r="M87" s="3">
        <v>14.6</v>
      </c>
      <c r="N87" s="3" t="s">
        <v>23</v>
      </c>
    </row>
    <row r="88" spans="1:14" x14ac:dyDescent="0.25">
      <c r="A88" s="3">
        <v>2097</v>
      </c>
      <c r="B88" s="4" t="s">
        <v>43</v>
      </c>
      <c r="C88" s="5">
        <v>45543</v>
      </c>
      <c r="D88" s="3">
        <v>10248</v>
      </c>
      <c r="E88" s="4" t="s">
        <v>13</v>
      </c>
      <c r="F88" s="3">
        <v>21</v>
      </c>
      <c r="G88" s="3" t="s">
        <v>15</v>
      </c>
      <c r="H88" s="3" t="s">
        <v>33</v>
      </c>
      <c r="I88" s="3">
        <v>8</v>
      </c>
      <c r="J88" s="3">
        <v>8</v>
      </c>
      <c r="K88" s="3" t="s">
        <v>31</v>
      </c>
      <c r="L88" s="4" t="s">
        <v>29</v>
      </c>
      <c r="M88" s="3">
        <v>6.6</v>
      </c>
      <c r="N88" s="3" t="s">
        <v>30</v>
      </c>
    </row>
    <row r="89" spans="1:14" x14ac:dyDescent="0.25">
      <c r="A89" s="3">
        <v>2099</v>
      </c>
      <c r="B89" s="4" t="s">
        <v>48</v>
      </c>
      <c r="C89" s="5">
        <v>45315</v>
      </c>
      <c r="D89" s="3">
        <v>10443</v>
      </c>
      <c r="E89" s="4" t="s">
        <v>13</v>
      </c>
      <c r="F89" s="3">
        <v>24</v>
      </c>
      <c r="G89" s="3" t="s">
        <v>15</v>
      </c>
      <c r="H89" s="3" t="s">
        <v>20</v>
      </c>
      <c r="I89" s="3">
        <v>32</v>
      </c>
      <c r="J89" s="3">
        <v>14.58</v>
      </c>
      <c r="K89" s="3" t="s">
        <v>16</v>
      </c>
      <c r="L89" s="4" t="s">
        <v>29</v>
      </c>
      <c r="M89" s="3">
        <v>9.4</v>
      </c>
      <c r="N89" s="3" t="s">
        <v>18</v>
      </c>
    </row>
    <row r="90" spans="1:14" x14ac:dyDescent="0.25">
      <c r="A90" s="3">
        <v>2100</v>
      </c>
      <c r="B90" s="4" t="s">
        <v>41</v>
      </c>
      <c r="C90" s="5">
        <v>45605</v>
      </c>
      <c r="D90" s="3">
        <v>10102</v>
      </c>
      <c r="E90" s="4" t="s">
        <v>13</v>
      </c>
      <c r="F90" s="3">
        <v>30</v>
      </c>
      <c r="G90" s="3" t="s">
        <v>34</v>
      </c>
      <c r="H90" s="3" t="s">
        <v>15</v>
      </c>
      <c r="I90" s="3">
        <v>19</v>
      </c>
      <c r="J90" s="3">
        <v>3.06</v>
      </c>
      <c r="K90" s="3" t="s">
        <v>16</v>
      </c>
      <c r="L90" s="4" t="s">
        <v>29</v>
      </c>
      <c r="M90" s="3">
        <v>6.8</v>
      </c>
      <c r="N90" s="3" t="s">
        <v>23</v>
      </c>
    </row>
    <row r="91" spans="1:14" x14ac:dyDescent="0.25">
      <c r="A91" s="3">
        <v>2101</v>
      </c>
      <c r="B91" s="4" t="s">
        <v>40</v>
      </c>
      <c r="C91" s="5">
        <v>45327</v>
      </c>
      <c r="D91" s="3">
        <v>10332</v>
      </c>
      <c r="E91" s="4" t="s">
        <v>19</v>
      </c>
      <c r="F91" s="3">
        <v>48</v>
      </c>
      <c r="G91" s="3" t="s">
        <v>33</v>
      </c>
      <c r="H91" s="3" t="s">
        <v>20</v>
      </c>
      <c r="I91" s="3">
        <v>6</v>
      </c>
      <c r="J91" s="3">
        <v>13.03</v>
      </c>
      <c r="K91" s="3" t="s">
        <v>31</v>
      </c>
      <c r="L91" s="4" t="s">
        <v>29</v>
      </c>
      <c r="M91" s="3">
        <v>6.2</v>
      </c>
      <c r="N91" s="3" t="s">
        <v>26</v>
      </c>
    </row>
    <row r="92" spans="1:14" x14ac:dyDescent="0.25">
      <c r="A92" s="3">
        <v>2102</v>
      </c>
      <c r="B92" s="4" t="s">
        <v>40</v>
      </c>
      <c r="C92" s="5">
        <v>45344</v>
      </c>
      <c r="D92" s="3">
        <v>10220</v>
      </c>
      <c r="E92" s="4" t="s">
        <v>13</v>
      </c>
      <c r="F92" s="3">
        <v>43</v>
      </c>
      <c r="G92" s="3" t="s">
        <v>35</v>
      </c>
      <c r="H92" s="3" t="s">
        <v>27</v>
      </c>
      <c r="I92" s="3">
        <v>57</v>
      </c>
      <c r="J92" s="3">
        <v>9.91</v>
      </c>
      <c r="K92" s="3" t="s">
        <v>16</v>
      </c>
      <c r="L92" s="4" t="s">
        <v>22</v>
      </c>
      <c r="M92" s="3">
        <v>14.4</v>
      </c>
      <c r="N92" s="3" t="s">
        <v>23</v>
      </c>
    </row>
    <row r="93" spans="1:14" x14ac:dyDescent="0.25">
      <c r="A93" s="3">
        <v>2103</v>
      </c>
      <c r="B93" s="4" t="s">
        <v>46</v>
      </c>
      <c r="C93" s="5">
        <v>45379</v>
      </c>
      <c r="D93" s="3">
        <v>10197</v>
      </c>
      <c r="E93" s="4" t="s">
        <v>13</v>
      </c>
      <c r="F93" s="3">
        <v>25</v>
      </c>
      <c r="G93" s="3" t="s">
        <v>27</v>
      </c>
      <c r="H93" s="3" t="s">
        <v>14</v>
      </c>
      <c r="I93" s="3">
        <v>43</v>
      </c>
      <c r="J93" s="3">
        <v>2.87</v>
      </c>
      <c r="K93" s="3" t="s">
        <v>31</v>
      </c>
      <c r="L93" s="4" t="s">
        <v>29</v>
      </c>
      <c r="M93" s="3">
        <v>13.6</v>
      </c>
      <c r="N93" s="3" t="s">
        <v>18</v>
      </c>
    </row>
    <row r="94" spans="1:14" x14ac:dyDescent="0.25">
      <c r="A94" s="3">
        <v>2104</v>
      </c>
      <c r="B94" s="4" t="s">
        <v>40</v>
      </c>
      <c r="C94" s="5">
        <v>45349</v>
      </c>
      <c r="D94" s="3">
        <v>10080</v>
      </c>
      <c r="E94" s="4" t="s">
        <v>19</v>
      </c>
      <c r="F94" s="3">
        <v>32</v>
      </c>
      <c r="G94" s="3" t="s">
        <v>20</v>
      </c>
      <c r="H94" s="3" t="s">
        <v>27</v>
      </c>
      <c r="I94" s="3">
        <v>21</v>
      </c>
      <c r="J94" s="3">
        <v>2.06</v>
      </c>
      <c r="K94" s="3" t="s">
        <v>16</v>
      </c>
      <c r="L94" s="4" t="s">
        <v>29</v>
      </c>
      <c r="M94" s="3">
        <v>7.2</v>
      </c>
      <c r="N94" s="3" t="s">
        <v>23</v>
      </c>
    </row>
    <row r="95" spans="1:14" x14ac:dyDescent="0.25">
      <c r="A95" s="3">
        <v>2105</v>
      </c>
      <c r="B95" s="4" t="s">
        <v>37</v>
      </c>
      <c r="C95" s="5">
        <v>45392</v>
      </c>
      <c r="D95" s="3">
        <v>10123</v>
      </c>
      <c r="E95" s="4" t="s">
        <v>13</v>
      </c>
      <c r="F95" s="3">
        <v>34</v>
      </c>
      <c r="G95" s="3" t="s">
        <v>34</v>
      </c>
      <c r="H95" s="3" t="s">
        <v>24</v>
      </c>
      <c r="I95" s="3">
        <v>9</v>
      </c>
      <c r="J95" s="3">
        <v>14.45</v>
      </c>
      <c r="K95" s="3" t="s">
        <v>16</v>
      </c>
      <c r="L95" s="4" t="s">
        <v>22</v>
      </c>
      <c r="M95" s="3">
        <v>4.8</v>
      </c>
      <c r="N95" s="3" t="s">
        <v>18</v>
      </c>
    </row>
    <row r="96" spans="1:14" x14ac:dyDescent="0.25">
      <c r="A96" s="3">
        <v>2106</v>
      </c>
      <c r="B96" s="4" t="s">
        <v>43</v>
      </c>
      <c r="C96" s="5">
        <v>45560</v>
      </c>
      <c r="D96" s="3">
        <v>10370</v>
      </c>
      <c r="E96" s="4" t="s">
        <v>13</v>
      </c>
      <c r="F96" s="3">
        <v>19</v>
      </c>
      <c r="G96" s="3" t="s">
        <v>14</v>
      </c>
      <c r="H96" s="3" t="s">
        <v>33</v>
      </c>
      <c r="I96" s="3">
        <v>11</v>
      </c>
      <c r="J96" s="3">
        <v>8.0500000000000007</v>
      </c>
      <c r="K96" s="3" t="s">
        <v>31</v>
      </c>
      <c r="L96" s="4" t="s">
        <v>22</v>
      </c>
      <c r="M96" s="3">
        <v>7.2</v>
      </c>
      <c r="N96" s="3" t="s">
        <v>18</v>
      </c>
    </row>
    <row r="97" spans="1:14" x14ac:dyDescent="0.25">
      <c r="A97" s="3">
        <v>2107</v>
      </c>
      <c r="B97" s="4" t="s">
        <v>37</v>
      </c>
      <c r="C97" s="5">
        <v>45397</v>
      </c>
      <c r="D97" s="3">
        <v>10006</v>
      </c>
      <c r="E97" s="4" t="s">
        <v>13</v>
      </c>
      <c r="F97" s="3">
        <v>45</v>
      </c>
      <c r="G97" s="3" t="s">
        <v>21</v>
      </c>
      <c r="H97" s="3" t="s">
        <v>33</v>
      </c>
      <c r="I97" s="3">
        <v>53</v>
      </c>
      <c r="J97" s="3">
        <v>1.82</v>
      </c>
      <c r="K97" s="3" t="s">
        <v>16</v>
      </c>
      <c r="L97" s="4" t="s">
        <v>17</v>
      </c>
      <c r="M97" s="3">
        <v>13.6</v>
      </c>
      <c r="N97" s="3" t="s">
        <v>23</v>
      </c>
    </row>
    <row r="98" spans="1:14" x14ac:dyDescent="0.25">
      <c r="A98" s="3">
        <v>2108</v>
      </c>
      <c r="B98" s="4" t="s">
        <v>38</v>
      </c>
      <c r="C98" s="5">
        <v>45527</v>
      </c>
      <c r="D98" s="3">
        <v>10122</v>
      </c>
      <c r="E98" s="4" t="s">
        <v>13</v>
      </c>
      <c r="F98" s="3">
        <v>34</v>
      </c>
      <c r="G98" s="3" t="s">
        <v>14</v>
      </c>
      <c r="H98" s="3" t="s">
        <v>15</v>
      </c>
      <c r="I98" s="3">
        <v>45</v>
      </c>
      <c r="J98" s="3">
        <v>8.67</v>
      </c>
      <c r="K98" s="3" t="s">
        <v>31</v>
      </c>
      <c r="L98" s="4" t="s">
        <v>17</v>
      </c>
      <c r="M98" s="3">
        <v>14</v>
      </c>
      <c r="N98" s="3" t="s">
        <v>26</v>
      </c>
    </row>
    <row r="99" spans="1:14" x14ac:dyDescent="0.25">
      <c r="A99" s="3">
        <v>2110</v>
      </c>
      <c r="B99" s="4" t="s">
        <v>37</v>
      </c>
      <c r="C99" s="5">
        <v>45386</v>
      </c>
      <c r="D99" s="3">
        <v>10344</v>
      </c>
      <c r="E99" s="4" t="s">
        <v>19</v>
      </c>
      <c r="F99" s="3">
        <v>25</v>
      </c>
      <c r="G99" s="3" t="s">
        <v>35</v>
      </c>
      <c r="H99" s="3" t="s">
        <v>27</v>
      </c>
      <c r="I99" s="3">
        <v>45</v>
      </c>
      <c r="J99" s="3">
        <v>11.88</v>
      </c>
      <c r="K99" s="3" t="s">
        <v>16</v>
      </c>
      <c r="L99" s="4" t="s">
        <v>29</v>
      </c>
      <c r="M99" s="3">
        <v>12</v>
      </c>
      <c r="N99" s="3" t="s">
        <v>23</v>
      </c>
    </row>
    <row r="100" spans="1:14" x14ac:dyDescent="0.25">
      <c r="A100" s="3">
        <v>2111</v>
      </c>
      <c r="B100" s="4" t="s">
        <v>37</v>
      </c>
      <c r="C100" s="5">
        <v>45403</v>
      </c>
      <c r="D100" s="3">
        <v>10276</v>
      </c>
      <c r="E100" s="4" t="s">
        <v>13</v>
      </c>
      <c r="F100" s="3">
        <v>39</v>
      </c>
      <c r="G100" s="3" t="s">
        <v>21</v>
      </c>
      <c r="H100" s="3" t="s">
        <v>28</v>
      </c>
      <c r="I100" s="3">
        <v>51</v>
      </c>
      <c r="J100" s="3">
        <v>7.19</v>
      </c>
      <c r="K100" s="3" t="s">
        <v>16</v>
      </c>
      <c r="L100" s="4" t="s">
        <v>17</v>
      </c>
      <c r="M100" s="3">
        <v>13.2</v>
      </c>
      <c r="N100" s="3" t="s">
        <v>23</v>
      </c>
    </row>
    <row r="101" spans="1:14" x14ac:dyDescent="0.25">
      <c r="A101" s="3">
        <v>2112</v>
      </c>
      <c r="B101" s="4" t="s">
        <v>43</v>
      </c>
      <c r="C101" s="5">
        <v>45556</v>
      </c>
      <c r="D101" s="3">
        <v>10286</v>
      </c>
      <c r="E101" s="4" t="s">
        <v>13</v>
      </c>
      <c r="F101" s="3">
        <v>20</v>
      </c>
      <c r="G101" s="3" t="s">
        <v>32</v>
      </c>
      <c r="H101" s="3" t="s">
        <v>15</v>
      </c>
      <c r="I101" s="3">
        <v>40</v>
      </c>
      <c r="J101" s="3">
        <v>5.95</v>
      </c>
      <c r="K101" s="3" t="s">
        <v>31</v>
      </c>
      <c r="L101" s="4" t="s">
        <v>17</v>
      </c>
      <c r="M101" s="3">
        <v>13</v>
      </c>
      <c r="N101" s="3" t="s">
        <v>18</v>
      </c>
    </row>
    <row r="102" spans="1:14" x14ac:dyDescent="0.25">
      <c r="A102" s="3">
        <v>2113</v>
      </c>
      <c r="B102" s="4" t="s">
        <v>37</v>
      </c>
      <c r="C102" s="5">
        <v>45402</v>
      </c>
      <c r="D102" s="3">
        <v>10280</v>
      </c>
      <c r="E102" s="4" t="s">
        <v>13</v>
      </c>
      <c r="F102" s="3">
        <v>43</v>
      </c>
      <c r="G102" s="3" t="s">
        <v>35</v>
      </c>
      <c r="H102" s="3" t="s">
        <v>15</v>
      </c>
      <c r="I102" s="3">
        <v>39</v>
      </c>
      <c r="J102" s="3">
        <v>12.03</v>
      </c>
      <c r="K102" s="3" t="s">
        <v>16</v>
      </c>
      <c r="L102" s="4" t="s">
        <v>17</v>
      </c>
      <c r="M102" s="3">
        <v>10.8</v>
      </c>
      <c r="N102" s="3" t="s">
        <v>18</v>
      </c>
    </row>
    <row r="103" spans="1:14" x14ac:dyDescent="0.25">
      <c r="A103" s="3">
        <v>2114</v>
      </c>
      <c r="B103" s="4" t="s">
        <v>44</v>
      </c>
      <c r="C103" s="5">
        <v>45592</v>
      </c>
      <c r="D103" s="3">
        <v>10320</v>
      </c>
      <c r="E103" s="4" t="s">
        <v>19</v>
      </c>
      <c r="F103" s="3">
        <v>23</v>
      </c>
      <c r="G103" s="3" t="s">
        <v>28</v>
      </c>
      <c r="H103" s="3" t="s">
        <v>15</v>
      </c>
      <c r="I103" s="3">
        <v>46</v>
      </c>
      <c r="J103" s="3">
        <v>8.17</v>
      </c>
      <c r="K103" s="3" t="s">
        <v>16</v>
      </c>
      <c r="L103" s="4" t="s">
        <v>17</v>
      </c>
      <c r="M103" s="3">
        <v>12.2</v>
      </c>
      <c r="N103" s="3" t="s">
        <v>30</v>
      </c>
    </row>
    <row r="104" spans="1:14" x14ac:dyDescent="0.25">
      <c r="A104" s="3">
        <v>2116</v>
      </c>
      <c r="B104" s="4" t="s">
        <v>46</v>
      </c>
      <c r="C104" s="5">
        <v>45363</v>
      </c>
      <c r="D104" s="3">
        <v>10090</v>
      </c>
      <c r="E104" s="4" t="s">
        <v>13</v>
      </c>
      <c r="F104" s="3">
        <v>38</v>
      </c>
      <c r="G104" s="3" t="s">
        <v>27</v>
      </c>
      <c r="H104" s="3" t="s">
        <v>33</v>
      </c>
      <c r="I104" s="3">
        <v>19</v>
      </c>
      <c r="J104" s="3">
        <v>7.53</v>
      </c>
      <c r="K104" s="3" t="s">
        <v>31</v>
      </c>
      <c r="L104" s="4" t="s">
        <v>17</v>
      </c>
      <c r="M104" s="3">
        <v>8.8000000000000007</v>
      </c>
      <c r="N104" s="3" t="s">
        <v>26</v>
      </c>
    </row>
    <row r="105" spans="1:14" x14ac:dyDescent="0.25">
      <c r="A105" s="3">
        <v>2118</v>
      </c>
      <c r="B105" s="4" t="s">
        <v>37</v>
      </c>
      <c r="C105" s="5">
        <v>45405</v>
      </c>
      <c r="D105" s="3">
        <v>10458</v>
      </c>
      <c r="E105" s="4" t="s">
        <v>19</v>
      </c>
      <c r="F105" s="3">
        <v>34</v>
      </c>
      <c r="G105" s="3" t="s">
        <v>20</v>
      </c>
      <c r="H105" s="3" t="s">
        <v>24</v>
      </c>
      <c r="I105" s="3">
        <v>38</v>
      </c>
      <c r="J105" s="3">
        <v>12.9</v>
      </c>
      <c r="K105" s="3" t="s">
        <v>31</v>
      </c>
      <c r="L105" s="4" t="s">
        <v>17</v>
      </c>
      <c r="M105" s="3">
        <v>12.6</v>
      </c>
      <c r="N105" s="3" t="s">
        <v>26</v>
      </c>
    </row>
    <row r="106" spans="1:14" x14ac:dyDescent="0.25">
      <c r="A106" s="3">
        <v>2119</v>
      </c>
      <c r="B106" s="4" t="s">
        <v>46</v>
      </c>
      <c r="C106" s="5">
        <v>45364</v>
      </c>
      <c r="D106" s="3">
        <v>10014</v>
      </c>
      <c r="E106" s="4" t="s">
        <v>13</v>
      </c>
      <c r="F106" s="3">
        <v>47</v>
      </c>
      <c r="G106" s="3" t="s">
        <v>20</v>
      </c>
      <c r="H106" s="3" t="s">
        <v>34</v>
      </c>
      <c r="I106" s="3">
        <v>52</v>
      </c>
      <c r="J106" s="3">
        <v>8.51</v>
      </c>
      <c r="K106" s="3" t="s">
        <v>31</v>
      </c>
      <c r="L106" s="4" t="s">
        <v>22</v>
      </c>
      <c r="M106" s="3">
        <v>15.4</v>
      </c>
      <c r="N106" s="3" t="s">
        <v>26</v>
      </c>
    </row>
    <row r="107" spans="1:14" x14ac:dyDescent="0.25">
      <c r="A107" s="3">
        <v>2120</v>
      </c>
      <c r="B107" s="4" t="s">
        <v>47</v>
      </c>
      <c r="C107" s="5">
        <v>45488</v>
      </c>
      <c r="D107" s="3">
        <v>10030</v>
      </c>
      <c r="E107" s="4" t="s">
        <v>19</v>
      </c>
      <c r="F107" s="3">
        <v>19</v>
      </c>
      <c r="G107" s="3" t="s">
        <v>28</v>
      </c>
      <c r="H107" s="3" t="s">
        <v>33</v>
      </c>
      <c r="I107" s="3">
        <v>25</v>
      </c>
      <c r="J107" s="3">
        <v>7.18</v>
      </c>
      <c r="K107" s="3" t="s">
        <v>16</v>
      </c>
      <c r="L107" s="4" t="s">
        <v>22</v>
      </c>
      <c r="M107" s="3">
        <v>8</v>
      </c>
      <c r="N107" s="3" t="s">
        <v>23</v>
      </c>
    </row>
    <row r="108" spans="1:14" x14ac:dyDescent="0.25">
      <c r="A108" s="3">
        <v>2121</v>
      </c>
      <c r="B108" s="4" t="s">
        <v>45</v>
      </c>
      <c r="C108" s="5">
        <v>45450</v>
      </c>
      <c r="D108" s="3">
        <v>10412</v>
      </c>
      <c r="E108" s="4" t="s">
        <v>19</v>
      </c>
      <c r="F108" s="3">
        <v>22</v>
      </c>
      <c r="G108" s="3" t="s">
        <v>33</v>
      </c>
      <c r="H108" s="3" t="s">
        <v>32</v>
      </c>
      <c r="I108" s="3">
        <v>25</v>
      </c>
      <c r="J108" s="3">
        <v>10.99</v>
      </c>
      <c r="K108" s="3" t="s">
        <v>31</v>
      </c>
      <c r="L108" s="4" t="s">
        <v>17</v>
      </c>
      <c r="M108" s="3">
        <v>10</v>
      </c>
      <c r="N108" s="3" t="s">
        <v>18</v>
      </c>
    </row>
    <row r="109" spans="1:14" x14ac:dyDescent="0.25">
      <c r="A109" s="3">
        <v>2122</v>
      </c>
      <c r="B109" s="4" t="s">
        <v>44</v>
      </c>
      <c r="C109" s="5">
        <v>45579</v>
      </c>
      <c r="D109" s="3">
        <v>10168</v>
      </c>
      <c r="E109" s="4" t="s">
        <v>19</v>
      </c>
      <c r="F109" s="3">
        <v>36</v>
      </c>
      <c r="G109" s="3" t="s">
        <v>15</v>
      </c>
      <c r="H109" s="3" t="s">
        <v>28</v>
      </c>
      <c r="I109" s="3">
        <v>21</v>
      </c>
      <c r="J109" s="3">
        <v>3.84</v>
      </c>
      <c r="K109" s="3" t="s">
        <v>16</v>
      </c>
      <c r="L109" s="4" t="s">
        <v>17</v>
      </c>
      <c r="M109" s="3">
        <v>7.2</v>
      </c>
      <c r="N109" s="3" t="s">
        <v>18</v>
      </c>
    </row>
    <row r="110" spans="1:14" x14ac:dyDescent="0.25">
      <c r="A110" s="3">
        <v>2123</v>
      </c>
      <c r="B110" s="4" t="s">
        <v>42</v>
      </c>
      <c r="C110" s="5">
        <v>45628</v>
      </c>
      <c r="D110" s="3">
        <v>10361</v>
      </c>
      <c r="E110" s="4" t="s">
        <v>13</v>
      </c>
      <c r="F110" s="3">
        <v>48</v>
      </c>
      <c r="G110" s="3" t="s">
        <v>28</v>
      </c>
      <c r="H110" s="3" t="s">
        <v>15</v>
      </c>
      <c r="I110" s="3">
        <v>35</v>
      </c>
      <c r="J110" s="3">
        <v>14.1</v>
      </c>
      <c r="K110" s="3" t="s">
        <v>16</v>
      </c>
      <c r="L110" s="4" t="s">
        <v>22</v>
      </c>
      <c r="M110" s="3">
        <v>10</v>
      </c>
      <c r="N110" s="3" t="s">
        <v>26</v>
      </c>
    </row>
    <row r="111" spans="1:14" x14ac:dyDescent="0.25">
      <c r="A111" s="3">
        <v>2124</v>
      </c>
      <c r="B111" s="4" t="s">
        <v>44</v>
      </c>
      <c r="C111" s="5">
        <v>45592</v>
      </c>
      <c r="D111" s="3">
        <v>10002</v>
      </c>
      <c r="E111" s="4" t="s">
        <v>19</v>
      </c>
      <c r="F111" s="3">
        <v>38</v>
      </c>
      <c r="G111" s="3" t="s">
        <v>33</v>
      </c>
      <c r="H111" s="3" t="s">
        <v>35</v>
      </c>
      <c r="I111" s="3">
        <v>43</v>
      </c>
      <c r="J111" s="3">
        <v>11.05</v>
      </c>
      <c r="K111" s="3" t="s">
        <v>16</v>
      </c>
      <c r="L111" s="4" t="s">
        <v>17</v>
      </c>
      <c r="M111" s="3">
        <v>11.6</v>
      </c>
      <c r="N111" s="3" t="s">
        <v>23</v>
      </c>
    </row>
    <row r="112" spans="1:14" x14ac:dyDescent="0.25">
      <c r="A112" s="3">
        <v>2125</v>
      </c>
      <c r="B112" s="4" t="s">
        <v>41</v>
      </c>
      <c r="C112" s="5">
        <v>45615</v>
      </c>
      <c r="D112" s="3">
        <v>10212</v>
      </c>
      <c r="E112" s="4" t="s">
        <v>13</v>
      </c>
      <c r="F112" s="3">
        <v>53</v>
      </c>
      <c r="G112" s="3" t="s">
        <v>34</v>
      </c>
      <c r="H112" s="3" t="s">
        <v>28</v>
      </c>
      <c r="I112" s="3">
        <v>35</v>
      </c>
      <c r="J112" s="3">
        <v>8.3000000000000007</v>
      </c>
      <c r="K112" s="3" t="s">
        <v>31</v>
      </c>
      <c r="L112" s="4" t="s">
        <v>29</v>
      </c>
      <c r="M112" s="3">
        <v>12</v>
      </c>
      <c r="N112" s="3" t="s">
        <v>26</v>
      </c>
    </row>
    <row r="113" spans="1:14" x14ac:dyDescent="0.25">
      <c r="A113" s="3">
        <v>2127</v>
      </c>
      <c r="B113" s="4" t="s">
        <v>40</v>
      </c>
      <c r="C113" s="5">
        <v>45340</v>
      </c>
      <c r="D113" s="3">
        <v>10355</v>
      </c>
      <c r="E113" s="4" t="s">
        <v>13</v>
      </c>
      <c r="F113" s="3">
        <v>25</v>
      </c>
      <c r="G113" s="3" t="s">
        <v>28</v>
      </c>
      <c r="H113" s="3" t="s">
        <v>34</v>
      </c>
      <c r="I113" s="3">
        <v>23</v>
      </c>
      <c r="J113" s="3">
        <v>3.85</v>
      </c>
      <c r="K113" s="3" t="s">
        <v>31</v>
      </c>
      <c r="L113" s="4" t="s">
        <v>17</v>
      </c>
      <c r="M113" s="3">
        <v>9.6</v>
      </c>
      <c r="N113" s="3" t="s">
        <v>26</v>
      </c>
    </row>
    <row r="114" spans="1:14" x14ac:dyDescent="0.25">
      <c r="A114" s="3">
        <v>2130</v>
      </c>
      <c r="B114" s="4" t="s">
        <v>40</v>
      </c>
      <c r="C114" s="5">
        <v>45351</v>
      </c>
      <c r="D114" s="3">
        <v>10143</v>
      </c>
      <c r="E114" s="4" t="s">
        <v>13</v>
      </c>
      <c r="F114" s="3">
        <v>34</v>
      </c>
      <c r="G114" s="3" t="s">
        <v>15</v>
      </c>
      <c r="H114" s="3" t="s">
        <v>14</v>
      </c>
      <c r="I114" s="3">
        <v>27</v>
      </c>
      <c r="J114" s="3">
        <v>9.9499999999999993</v>
      </c>
      <c r="K114" s="3" t="s">
        <v>31</v>
      </c>
      <c r="L114" s="4" t="s">
        <v>17</v>
      </c>
      <c r="M114" s="3">
        <v>10.4</v>
      </c>
      <c r="N114" s="3" t="s">
        <v>18</v>
      </c>
    </row>
    <row r="115" spans="1:14" x14ac:dyDescent="0.25">
      <c r="A115" s="3">
        <v>2131</v>
      </c>
      <c r="B115" s="4" t="s">
        <v>44</v>
      </c>
      <c r="C115" s="5">
        <v>45590</v>
      </c>
      <c r="D115" s="3">
        <v>10430</v>
      </c>
      <c r="E115" s="4" t="s">
        <v>13</v>
      </c>
      <c r="F115" s="3">
        <v>29</v>
      </c>
      <c r="G115" s="3" t="s">
        <v>32</v>
      </c>
      <c r="H115" s="3" t="s">
        <v>32</v>
      </c>
      <c r="I115" s="3">
        <v>32</v>
      </c>
      <c r="J115" s="3">
        <v>2.27</v>
      </c>
      <c r="K115" s="3" t="s">
        <v>31</v>
      </c>
      <c r="L115" s="4" t="s">
        <v>22</v>
      </c>
      <c r="M115" s="3">
        <v>11.4</v>
      </c>
      <c r="N115" s="3" t="s">
        <v>30</v>
      </c>
    </row>
    <row r="116" spans="1:14" x14ac:dyDescent="0.25">
      <c r="A116" s="3">
        <v>2132</v>
      </c>
      <c r="B116" s="4" t="s">
        <v>37</v>
      </c>
      <c r="C116" s="5">
        <v>45405</v>
      </c>
      <c r="D116" s="3">
        <v>10266</v>
      </c>
      <c r="E116" s="4" t="s">
        <v>19</v>
      </c>
      <c r="F116" s="3">
        <v>19</v>
      </c>
      <c r="G116" s="3" t="s">
        <v>27</v>
      </c>
      <c r="H116" s="3" t="s">
        <v>24</v>
      </c>
      <c r="I116" s="3">
        <v>31</v>
      </c>
      <c r="J116" s="3">
        <v>13.85</v>
      </c>
      <c r="K116" s="3" t="s">
        <v>31</v>
      </c>
      <c r="L116" s="4" t="s">
        <v>29</v>
      </c>
      <c r="M116" s="3">
        <v>11.2</v>
      </c>
      <c r="N116" s="3" t="s">
        <v>23</v>
      </c>
    </row>
    <row r="117" spans="1:14" x14ac:dyDescent="0.25">
      <c r="A117" s="3">
        <v>2134</v>
      </c>
      <c r="B117" s="4" t="s">
        <v>48</v>
      </c>
      <c r="C117" s="5">
        <v>45294</v>
      </c>
      <c r="D117" s="3">
        <v>10290</v>
      </c>
      <c r="E117" s="4" t="s">
        <v>13</v>
      </c>
      <c r="F117" s="3">
        <v>22</v>
      </c>
      <c r="G117" s="3" t="s">
        <v>27</v>
      </c>
      <c r="H117" s="3" t="s">
        <v>34</v>
      </c>
      <c r="I117" s="3">
        <v>29</v>
      </c>
      <c r="J117" s="3">
        <v>11.79</v>
      </c>
      <c r="K117" s="3" t="s">
        <v>16</v>
      </c>
      <c r="L117" s="4" t="s">
        <v>29</v>
      </c>
      <c r="M117" s="3">
        <v>8.8000000000000007</v>
      </c>
      <c r="N117" s="3" t="s">
        <v>30</v>
      </c>
    </row>
    <row r="118" spans="1:14" x14ac:dyDescent="0.25">
      <c r="A118" s="3">
        <v>2135</v>
      </c>
      <c r="B118" s="4" t="s">
        <v>45</v>
      </c>
      <c r="C118" s="5">
        <v>45461</v>
      </c>
      <c r="D118" s="3">
        <v>10230</v>
      </c>
      <c r="E118" s="4" t="s">
        <v>19</v>
      </c>
      <c r="F118" s="3">
        <v>34</v>
      </c>
      <c r="G118" s="3" t="s">
        <v>32</v>
      </c>
      <c r="H118" s="3" t="s">
        <v>33</v>
      </c>
      <c r="I118" s="3">
        <v>45</v>
      </c>
      <c r="J118" s="3">
        <v>3.95</v>
      </c>
      <c r="K118" s="3" t="s">
        <v>31</v>
      </c>
      <c r="L118" s="4" t="s">
        <v>17</v>
      </c>
      <c r="M118" s="3">
        <v>14</v>
      </c>
      <c r="N118" s="3" t="s">
        <v>23</v>
      </c>
    </row>
    <row r="119" spans="1:14" x14ac:dyDescent="0.25">
      <c r="A119" s="3">
        <v>2137</v>
      </c>
      <c r="B119" s="4" t="s">
        <v>37</v>
      </c>
      <c r="C119" s="5">
        <v>45409</v>
      </c>
      <c r="D119" s="3">
        <v>10446</v>
      </c>
      <c r="E119" s="4" t="s">
        <v>19</v>
      </c>
      <c r="F119" s="3">
        <v>45</v>
      </c>
      <c r="G119" s="3" t="s">
        <v>21</v>
      </c>
      <c r="H119" s="3" t="s">
        <v>27</v>
      </c>
      <c r="I119" s="3">
        <v>58</v>
      </c>
      <c r="J119" s="3">
        <v>5.54</v>
      </c>
      <c r="K119" s="3" t="s">
        <v>16</v>
      </c>
      <c r="L119" s="4" t="s">
        <v>17</v>
      </c>
      <c r="M119" s="3">
        <v>14.6</v>
      </c>
      <c r="N119" s="3" t="s">
        <v>23</v>
      </c>
    </row>
    <row r="120" spans="1:14" x14ac:dyDescent="0.25">
      <c r="A120" s="3">
        <v>2139</v>
      </c>
      <c r="B120" s="4" t="s">
        <v>43</v>
      </c>
      <c r="C120" s="5">
        <v>45561</v>
      </c>
      <c r="D120" s="3">
        <v>10417</v>
      </c>
      <c r="E120" s="4" t="s">
        <v>13</v>
      </c>
      <c r="F120" s="3">
        <v>53</v>
      </c>
      <c r="G120" s="3" t="s">
        <v>25</v>
      </c>
      <c r="H120" s="3" t="s">
        <v>32</v>
      </c>
      <c r="I120" s="3">
        <v>51</v>
      </c>
      <c r="J120" s="3">
        <v>11.51</v>
      </c>
      <c r="K120" s="3" t="s">
        <v>16</v>
      </c>
      <c r="L120" s="4" t="s">
        <v>29</v>
      </c>
      <c r="M120" s="3">
        <v>13.2</v>
      </c>
      <c r="N120" s="3" t="s">
        <v>23</v>
      </c>
    </row>
    <row r="121" spans="1:14" x14ac:dyDescent="0.25">
      <c r="A121" s="3">
        <v>2140</v>
      </c>
      <c r="B121" s="4" t="s">
        <v>47</v>
      </c>
      <c r="C121" s="5">
        <v>45480</v>
      </c>
      <c r="D121" s="3">
        <v>10309</v>
      </c>
      <c r="E121" s="4" t="s">
        <v>19</v>
      </c>
      <c r="F121" s="3">
        <v>41</v>
      </c>
      <c r="G121" s="3" t="s">
        <v>15</v>
      </c>
      <c r="H121" s="3" t="s">
        <v>35</v>
      </c>
      <c r="I121" s="3">
        <v>13</v>
      </c>
      <c r="J121" s="3">
        <v>11.24</v>
      </c>
      <c r="K121" s="3" t="s">
        <v>16</v>
      </c>
      <c r="L121" s="4" t="s">
        <v>22</v>
      </c>
      <c r="M121" s="3">
        <v>5.6</v>
      </c>
      <c r="N121" s="3" t="s">
        <v>23</v>
      </c>
    </row>
    <row r="122" spans="1:14" x14ac:dyDescent="0.25">
      <c r="A122" s="3">
        <v>2141</v>
      </c>
      <c r="B122" s="4" t="s">
        <v>43</v>
      </c>
      <c r="C122" s="5">
        <v>45545</v>
      </c>
      <c r="D122" s="3">
        <v>10200</v>
      </c>
      <c r="E122" s="4" t="s">
        <v>13</v>
      </c>
      <c r="F122" s="3">
        <v>26</v>
      </c>
      <c r="G122" s="3" t="s">
        <v>20</v>
      </c>
      <c r="H122" s="3" t="s">
        <v>20</v>
      </c>
      <c r="I122" s="3">
        <v>27</v>
      </c>
      <c r="J122" s="3">
        <v>2.2799999999999998</v>
      </c>
      <c r="K122" s="3" t="s">
        <v>16</v>
      </c>
      <c r="L122" s="4" t="s">
        <v>22</v>
      </c>
      <c r="M122" s="3">
        <v>8.4</v>
      </c>
      <c r="N122" s="3" t="s">
        <v>26</v>
      </c>
    </row>
    <row r="123" spans="1:14" x14ac:dyDescent="0.25">
      <c r="A123" s="3">
        <v>2142</v>
      </c>
      <c r="B123" s="4" t="s">
        <v>38</v>
      </c>
      <c r="C123" s="5">
        <v>45530</v>
      </c>
      <c r="D123" s="3">
        <v>10050</v>
      </c>
      <c r="E123" s="4" t="s">
        <v>19</v>
      </c>
      <c r="F123" s="3">
        <v>40</v>
      </c>
      <c r="G123" s="3" t="s">
        <v>21</v>
      </c>
      <c r="H123" s="3" t="s">
        <v>35</v>
      </c>
      <c r="I123" s="3">
        <v>7</v>
      </c>
      <c r="J123" s="3">
        <v>6.23</v>
      </c>
      <c r="K123" s="3" t="s">
        <v>31</v>
      </c>
      <c r="L123" s="4" t="s">
        <v>29</v>
      </c>
      <c r="M123" s="3">
        <v>6.4</v>
      </c>
      <c r="N123" s="3" t="s">
        <v>30</v>
      </c>
    </row>
    <row r="124" spans="1:14" x14ac:dyDescent="0.25">
      <c r="A124" s="3">
        <v>2145</v>
      </c>
      <c r="B124" s="4" t="s">
        <v>44</v>
      </c>
      <c r="C124" s="5">
        <v>45570</v>
      </c>
      <c r="D124" s="3">
        <v>10108</v>
      </c>
      <c r="E124" s="4" t="s">
        <v>13</v>
      </c>
      <c r="F124" s="3">
        <v>54</v>
      </c>
      <c r="G124" s="3" t="s">
        <v>32</v>
      </c>
      <c r="H124" s="3" t="s">
        <v>27</v>
      </c>
      <c r="I124" s="3">
        <v>21</v>
      </c>
      <c r="J124" s="3">
        <v>2.86</v>
      </c>
      <c r="K124" s="3" t="s">
        <v>16</v>
      </c>
      <c r="L124" s="4" t="s">
        <v>29</v>
      </c>
      <c r="M124" s="3">
        <v>7.2</v>
      </c>
      <c r="N124" s="3" t="s">
        <v>30</v>
      </c>
    </row>
    <row r="125" spans="1:14" x14ac:dyDescent="0.25">
      <c r="A125" s="3">
        <v>2146</v>
      </c>
      <c r="B125" s="4" t="s">
        <v>38</v>
      </c>
      <c r="C125" s="5">
        <v>45527</v>
      </c>
      <c r="D125" s="3">
        <v>10013</v>
      </c>
      <c r="E125" s="4" t="s">
        <v>19</v>
      </c>
      <c r="F125" s="3">
        <v>25</v>
      </c>
      <c r="G125" s="3" t="s">
        <v>25</v>
      </c>
      <c r="H125" s="3" t="s">
        <v>27</v>
      </c>
      <c r="I125" s="3">
        <v>49</v>
      </c>
      <c r="J125" s="3">
        <v>12.12</v>
      </c>
      <c r="K125" s="3" t="s">
        <v>16</v>
      </c>
      <c r="L125" s="4" t="s">
        <v>17</v>
      </c>
      <c r="M125" s="3">
        <v>12.8</v>
      </c>
      <c r="N125" s="3" t="s">
        <v>18</v>
      </c>
    </row>
    <row r="126" spans="1:14" x14ac:dyDescent="0.25">
      <c r="A126" s="3">
        <v>2149</v>
      </c>
      <c r="B126" s="4" t="s">
        <v>41</v>
      </c>
      <c r="C126" s="5">
        <v>45597</v>
      </c>
      <c r="D126" s="3">
        <v>10363</v>
      </c>
      <c r="E126" s="4" t="s">
        <v>19</v>
      </c>
      <c r="F126" s="3">
        <v>24</v>
      </c>
      <c r="G126" s="3" t="s">
        <v>25</v>
      </c>
      <c r="H126" s="3" t="s">
        <v>33</v>
      </c>
      <c r="I126" s="3">
        <v>22</v>
      </c>
      <c r="J126" s="3">
        <v>3.01</v>
      </c>
      <c r="K126" s="3" t="s">
        <v>31</v>
      </c>
      <c r="L126" s="4" t="s">
        <v>17</v>
      </c>
      <c r="M126" s="3">
        <v>9.4</v>
      </c>
      <c r="N126" s="3" t="s">
        <v>30</v>
      </c>
    </row>
    <row r="127" spans="1:14" x14ac:dyDescent="0.25">
      <c r="A127" s="3">
        <v>2150</v>
      </c>
      <c r="B127" s="4" t="s">
        <v>38</v>
      </c>
      <c r="C127" s="5">
        <v>45508</v>
      </c>
      <c r="D127" s="3">
        <v>10022</v>
      </c>
      <c r="E127" s="4" t="s">
        <v>19</v>
      </c>
      <c r="F127" s="3">
        <v>49</v>
      </c>
      <c r="G127" s="3" t="s">
        <v>21</v>
      </c>
      <c r="H127" s="3" t="s">
        <v>27</v>
      </c>
      <c r="I127" s="3">
        <v>59</v>
      </c>
      <c r="J127" s="3">
        <v>1.07</v>
      </c>
      <c r="K127" s="3" t="s">
        <v>31</v>
      </c>
      <c r="L127" s="4" t="s">
        <v>17</v>
      </c>
      <c r="M127" s="3">
        <v>16.8</v>
      </c>
      <c r="N127" s="3" t="s">
        <v>18</v>
      </c>
    </row>
    <row r="128" spans="1:14" x14ac:dyDescent="0.25">
      <c r="A128" s="3">
        <v>2151</v>
      </c>
      <c r="B128" s="4" t="s">
        <v>39</v>
      </c>
      <c r="C128" s="5">
        <v>45432</v>
      </c>
      <c r="D128" s="3">
        <v>10403</v>
      </c>
      <c r="E128" s="4" t="s">
        <v>13</v>
      </c>
      <c r="F128" s="3">
        <v>34</v>
      </c>
      <c r="G128" s="3" t="s">
        <v>33</v>
      </c>
      <c r="H128" s="3" t="s">
        <v>28</v>
      </c>
      <c r="I128" s="3">
        <v>28</v>
      </c>
      <c r="J128" s="3">
        <v>14.23</v>
      </c>
      <c r="K128" s="3" t="s">
        <v>16</v>
      </c>
      <c r="L128" s="4" t="s">
        <v>29</v>
      </c>
      <c r="M128" s="3">
        <v>8.6</v>
      </c>
      <c r="N128" s="3" t="s">
        <v>23</v>
      </c>
    </row>
    <row r="129" spans="1:14" x14ac:dyDescent="0.25">
      <c r="A129" s="3">
        <v>2155</v>
      </c>
      <c r="B129" s="4" t="s">
        <v>43</v>
      </c>
      <c r="C129" s="5">
        <v>45560</v>
      </c>
      <c r="D129" s="3">
        <v>10207</v>
      </c>
      <c r="E129" s="4" t="s">
        <v>13</v>
      </c>
      <c r="F129" s="3">
        <v>48</v>
      </c>
      <c r="G129" s="3" t="s">
        <v>25</v>
      </c>
      <c r="H129" s="3" t="s">
        <v>20</v>
      </c>
      <c r="I129" s="3">
        <v>28</v>
      </c>
      <c r="J129" s="3">
        <v>6.47</v>
      </c>
      <c r="K129" s="3" t="s">
        <v>16</v>
      </c>
      <c r="L129" s="4" t="s">
        <v>29</v>
      </c>
      <c r="M129" s="3">
        <v>8.6</v>
      </c>
      <c r="N129" s="3" t="s">
        <v>26</v>
      </c>
    </row>
    <row r="130" spans="1:14" x14ac:dyDescent="0.25">
      <c r="A130" s="3">
        <v>2156</v>
      </c>
      <c r="B130" s="4" t="s">
        <v>45</v>
      </c>
      <c r="C130" s="5">
        <v>45461</v>
      </c>
      <c r="D130" s="3">
        <v>10297</v>
      </c>
      <c r="E130" s="4" t="s">
        <v>19</v>
      </c>
      <c r="F130" s="3">
        <v>48</v>
      </c>
      <c r="G130" s="3" t="s">
        <v>34</v>
      </c>
      <c r="H130" s="3" t="s">
        <v>32</v>
      </c>
      <c r="I130" s="3">
        <v>5</v>
      </c>
      <c r="J130" s="3">
        <v>6.52</v>
      </c>
      <c r="K130" s="3" t="s">
        <v>16</v>
      </c>
      <c r="L130" s="4" t="s">
        <v>17</v>
      </c>
      <c r="M130" s="3">
        <v>4</v>
      </c>
      <c r="N130" s="3" t="s">
        <v>26</v>
      </c>
    </row>
    <row r="131" spans="1:14" x14ac:dyDescent="0.25">
      <c r="A131" s="3">
        <v>2157</v>
      </c>
      <c r="B131" s="4" t="s">
        <v>47</v>
      </c>
      <c r="C131" s="5">
        <v>45477</v>
      </c>
      <c r="D131" s="3">
        <v>10023</v>
      </c>
      <c r="E131" s="4" t="s">
        <v>19</v>
      </c>
      <c r="F131" s="3">
        <v>33</v>
      </c>
      <c r="G131" s="3" t="s">
        <v>34</v>
      </c>
      <c r="H131" s="3" t="s">
        <v>24</v>
      </c>
      <c r="I131" s="3">
        <v>39</v>
      </c>
      <c r="J131" s="3">
        <v>5.45</v>
      </c>
      <c r="K131" s="3" t="s">
        <v>16</v>
      </c>
      <c r="L131" s="4" t="s">
        <v>22</v>
      </c>
      <c r="M131" s="3">
        <v>10.8</v>
      </c>
      <c r="N131" s="3" t="s">
        <v>18</v>
      </c>
    </row>
    <row r="132" spans="1:14" x14ac:dyDescent="0.25">
      <c r="A132" s="3">
        <v>2158</v>
      </c>
      <c r="B132" s="4" t="s">
        <v>46</v>
      </c>
      <c r="C132" s="5">
        <v>45372</v>
      </c>
      <c r="D132" s="3">
        <v>10463</v>
      </c>
      <c r="E132" s="4" t="s">
        <v>19</v>
      </c>
      <c r="F132" s="3">
        <v>31</v>
      </c>
      <c r="G132" s="3" t="s">
        <v>35</v>
      </c>
      <c r="H132" s="3" t="s">
        <v>27</v>
      </c>
      <c r="I132" s="3">
        <v>9</v>
      </c>
      <c r="J132" s="3">
        <v>1.01</v>
      </c>
      <c r="K132" s="3" t="s">
        <v>16</v>
      </c>
      <c r="L132" s="4" t="s">
        <v>29</v>
      </c>
      <c r="M132" s="3">
        <v>4.8</v>
      </c>
      <c r="N132" s="3" t="s">
        <v>26</v>
      </c>
    </row>
    <row r="133" spans="1:14" x14ac:dyDescent="0.25">
      <c r="A133" s="3">
        <v>2159</v>
      </c>
      <c r="B133" s="4" t="s">
        <v>45</v>
      </c>
      <c r="C133" s="5">
        <v>45468</v>
      </c>
      <c r="D133" s="3">
        <v>10244</v>
      </c>
      <c r="E133" s="4" t="s">
        <v>13</v>
      </c>
      <c r="F133" s="3">
        <v>35</v>
      </c>
      <c r="G133" s="3" t="s">
        <v>15</v>
      </c>
      <c r="H133" s="3" t="s">
        <v>32</v>
      </c>
      <c r="I133" s="3">
        <v>6</v>
      </c>
      <c r="J133" s="3">
        <v>14.69</v>
      </c>
      <c r="K133" s="3" t="s">
        <v>31</v>
      </c>
      <c r="L133" s="4" t="s">
        <v>29</v>
      </c>
      <c r="M133" s="3">
        <v>6.2</v>
      </c>
      <c r="N133" s="3" t="s">
        <v>26</v>
      </c>
    </row>
    <row r="134" spans="1:14" x14ac:dyDescent="0.25">
      <c r="A134" s="3">
        <v>2162</v>
      </c>
      <c r="B134" s="4" t="s">
        <v>45</v>
      </c>
      <c r="C134" s="5">
        <v>45452</v>
      </c>
      <c r="D134" s="3">
        <v>10198</v>
      </c>
      <c r="E134" s="4" t="s">
        <v>13</v>
      </c>
      <c r="F134" s="3">
        <v>20</v>
      </c>
      <c r="G134" s="3" t="s">
        <v>15</v>
      </c>
      <c r="H134" s="3" t="s">
        <v>27</v>
      </c>
      <c r="I134" s="3">
        <v>25</v>
      </c>
      <c r="J134" s="3">
        <v>3.5</v>
      </c>
      <c r="K134" s="3" t="s">
        <v>16</v>
      </c>
      <c r="L134" s="4" t="s">
        <v>29</v>
      </c>
      <c r="M134" s="3">
        <v>8</v>
      </c>
      <c r="N134" s="3" t="s">
        <v>26</v>
      </c>
    </row>
    <row r="135" spans="1:14" x14ac:dyDescent="0.25">
      <c r="A135" s="3">
        <v>2163</v>
      </c>
      <c r="B135" s="4" t="s">
        <v>40</v>
      </c>
      <c r="C135" s="5">
        <v>45326</v>
      </c>
      <c r="D135" s="3">
        <v>10041</v>
      </c>
      <c r="E135" s="4" t="s">
        <v>19</v>
      </c>
      <c r="F135" s="3">
        <v>22</v>
      </c>
      <c r="G135" s="3" t="s">
        <v>25</v>
      </c>
      <c r="H135" s="3" t="s">
        <v>25</v>
      </c>
      <c r="I135" s="3">
        <v>32</v>
      </c>
      <c r="J135" s="3">
        <v>11.78</v>
      </c>
      <c r="K135" s="3" t="s">
        <v>31</v>
      </c>
      <c r="L135" s="4" t="s">
        <v>22</v>
      </c>
      <c r="M135" s="3">
        <v>11.4</v>
      </c>
      <c r="N135" s="3" t="s">
        <v>18</v>
      </c>
    </row>
    <row r="136" spans="1:14" x14ac:dyDescent="0.25">
      <c r="A136" s="3">
        <v>2164</v>
      </c>
      <c r="B136" s="4" t="s">
        <v>38</v>
      </c>
      <c r="C136" s="5">
        <v>45506</v>
      </c>
      <c r="D136" s="3">
        <v>10145</v>
      </c>
      <c r="E136" s="4" t="s">
        <v>19</v>
      </c>
      <c r="F136" s="3">
        <v>20</v>
      </c>
      <c r="G136" s="3" t="s">
        <v>27</v>
      </c>
      <c r="H136" s="3" t="s">
        <v>14</v>
      </c>
      <c r="I136" s="3">
        <v>24</v>
      </c>
      <c r="J136" s="3">
        <v>9.59</v>
      </c>
      <c r="K136" s="3" t="s">
        <v>16</v>
      </c>
      <c r="L136" s="4" t="s">
        <v>29</v>
      </c>
      <c r="M136" s="3">
        <v>7.8</v>
      </c>
      <c r="N136" s="3" t="s">
        <v>18</v>
      </c>
    </row>
    <row r="137" spans="1:14" x14ac:dyDescent="0.25">
      <c r="A137" s="3">
        <v>2165</v>
      </c>
      <c r="B137" s="4" t="s">
        <v>37</v>
      </c>
      <c r="C137" s="5">
        <v>45404</v>
      </c>
      <c r="D137" s="3">
        <v>10377</v>
      </c>
      <c r="E137" s="4" t="s">
        <v>19</v>
      </c>
      <c r="F137" s="3">
        <v>25</v>
      </c>
      <c r="G137" s="3" t="s">
        <v>28</v>
      </c>
      <c r="H137" s="3" t="s">
        <v>14</v>
      </c>
      <c r="I137" s="3">
        <v>7</v>
      </c>
      <c r="J137" s="3">
        <v>3.39</v>
      </c>
      <c r="K137" s="3" t="s">
        <v>31</v>
      </c>
      <c r="L137" s="4" t="s">
        <v>17</v>
      </c>
      <c r="M137" s="3">
        <v>6.4</v>
      </c>
      <c r="N137" s="3" t="s">
        <v>26</v>
      </c>
    </row>
    <row r="138" spans="1:14" x14ac:dyDescent="0.25">
      <c r="A138" s="3">
        <v>2166</v>
      </c>
      <c r="B138" s="4" t="s">
        <v>42</v>
      </c>
      <c r="C138" s="5">
        <v>45634</v>
      </c>
      <c r="D138" s="3">
        <v>10274</v>
      </c>
      <c r="E138" s="4" t="s">
        <v>19</v>
      </c>
      <c r="F138" s="3">
        <v>40</v>
      </c>
      <c r="G138" s="3" t="s">
        <v>34</v>
      </c>
      <c r="H138" s="3" t="s">
        <v>25</v>
      </c>
      <c r="I138" s="3">
        <v>10</v>
      </c>
      <c r="J138" s="3">
        <v>2.68</v>
      </c>
      <c r="K138" s="3" t="s">
        <v>16</v>
      </c>
      <c r="L138" s="4" t="s">
        <v>29</v>
      </c>
      <c r="M138" s="3">
        <v>5</v>
      </c>
      <c r="N138" s="3" t="s">
        <v>18</v>
      </c>
    </row>
    <row r="139" spans="1:14" x14ac:dyDescent="0.25">
      <c r="A139" s="3">
        <v>2167</v>
      </c>
      <c r="B139" s="4" t="s">
        <v>44</v>
      </c>
      <c r="C139" s="5">
        <v>45590</v>
      </c>
      <c r="D139" s="3">
        <v>10380</v>
      </c>
      <c r="E139" s="4" t="s">
        <v>19</v>
      </c>
      <c r="F139" s="3">
        <v>53</v>
      </c>
      <c r="G139" s="3" t="s">
        <v>32</v>
      </c>
      <c r="H139" s="3" t="s">
        <v>32</v>
      </c>
      <c r="I139" s="3">
        <v>52</v>
      </c>
      <c r="J139" s="3">
        <v>10.1</v>
      </c>
      <c r="K139" s="3" t="s">
        <v>16</v>
      </c>
      <c r="L139" s="4" t="s">
        <v>29</v>
      </c>
      <c r="M139" s="3">
        <v>13.4</v>
      </c>
      <c r="N139" s="3" t="s">
        <v>26</v>
      </c>
    </row>
    <row r="140" spans="1:14" x14ac:dyDescent="0.25">
      <c r="A140" s="3">
        <v>2171</v>
      </c>
      <c r="B140" s="4" t="s">
        <v>47</v>
      </c>
      <c r="C140" s="5">
        <v>45489</v>
      </c>
      <c r="D140" s="3">
        <v>10354</v>
      </c>
      <c r="E140" s="4" t="s">
        <v>13</v>
      </c>
      <c r="F140" s="3">
        <v>22</v>
      </c>
      <c r="G140" s="3" t="s">
        <v>34</v>
      </c>
      <c r="H140" s="3" t="s">
        <v>27</v>
      </c>
      <c r="I140" s="3">
        <v>32</v>
      </c>
      <c r="J140" s="3">
        <v>14.4</v>
      </c>
      <c r="K140" s="3" t="s">
        <v>31</v>
      </c>
      <c r="L140" s="4" t="s">
        <v>22</v>
      </c>
      <c r="M140" s="3">
        <v>11.4</v>
      </c>
      <c r="N140" s="3" t="s">
        <v>18</v>
      </c>
    </row>
    <row r="141" spans="1:14" x14ac:dyDescent="0.25">
      <c r="A141" s="3">
        <v>2173</v>
      </c>
      <c r="B141" s="4" t="s">
        <v>39</v>
      </c>
      <c r="C141" s="5">
        <v>45440</v>
      </c>
      <c r="D141" s="3">
        <v>10263</v>
      </c>
      <c r="E141" s="4" t="s">
        <v>19</v>
      </c>
      <c r="F141" s="3">
        <v>41</v>
      </c>
      <c r="G141" s="3" t="s">
        <v>28</v>
      </c>
      <c r="H141" s="3" t="s">
        <v>15</v>
      </c>
      <c r="I141" s="3">
        <v>12</v>
      </c>
      <c r="J141" s="3">
        <v>4.45</v>
      </c>
      <c r="K141" s="3" t="s">
        <v>16</v>
      </c>
      <c r="L141" s="4" t="s">
        <v>17</v>
      </c>
      <c r="M141" s="3">
        <v>5.4</v>
      </c>
      <c r="N141" s="3" t="s">
        <v>18</v>
      </c>
    </row>
    <row r="142" spans="1:14" x14ac:dyDescent="0.25">
      <c r="A142" s="3">
        <v>2174</v>
      </c>
      <c r="B142" s="4" t="s">
        <v>48</v>
      </c>
      <c r="C142" s="5">
        <v>45303</v>
      </c>
      <c r="D142" s="3">
        <v>10224</v>
      </c>
      <c r="E142" s="4" t="s">
        <v>13</v>
      </c>
      <c r="F142" s="3">
        <v>29</v>
      </c>
      <c r="G142" s="3" t="s">
        <v>25</v>
      </c>
      <c r="H142" s="3" t="s">
        <v>20</v>
      </c>
      <c r="I142" s="3">
        <v>54</v>
      </c>
      <c r="J142" s="3">
        <v>1.31</v>
      </c>
      <c r="K142" s="3" t="s">
        <v>31</v>
      </c>
      <c r="L142" s="4" t="s">
        <v>29</v>
      </c>
      <c r="M142" s="3">
        <v>15.8</v>
      </c>
      <c r="N142" s="3" t="s">
        <v>23</v>
      </c>
    </row>
    <row r="143" spans="1:14" x14ac:dyDescent="0.25">
      <c r="A143" s="3">
        <v>2175</v>
      </c>
      <c r="B143" s="4" t="s">
        <v>38</v>
      </c>
      <c r="C143" s="5">
        <v>45533</v>
      </c>
      <c r="D143" s="3">
        <v>10235</v>
      </c>
      <c r="E143" s="4" t="s">
        <v>13</v>
      </c>
      <c r="F143" s="3">
        <v>34</v>
      </c>
      <c r="G143" s="3" t="s">
        <v>27</v>
      </c>
      <c r="H143" s="3" t="s">
        <v>15</v>
      </c>
      <c r="I143" s="3">
        <v>48</v>
      </c>
      <c r="J143" s="3">
        <v>4.21</v>
      </c>
      <c r="K143" s="3" t="s">
        <v>31</v>
      </c>
      <c r="L143" s="4" t="s">
        <v>17</v>
      </c>
      <c r="M143" s="3">
        <v>14.6</v>
      </c>
      <c r="N143" s="3" t="s">
        <v>18</v>
      </c>
    </row>
    <row r="144" spans="1:14" x14ac:dyDescent="0.25">
      <c r="A144" s="3">
        <v>2176</v>
      </c>
      <c r="B144" s="4" t="s">
        <v>43</v>
      </c>
      <c r="C144" s="5">
        <v>45544</v>
      </c>
      <c r="D144" s="3">
        <v>10277</v>
      </c>
      <c r="E144" s="4" t="s">
        <v>19</v>
      </c>
      <c r="F144" s="3">
        <v>27</v>
      </c>
      <c r="G144" s="3" t="s">
        <v>35</v>
      </c>
      <c r="H144" s="3" t="s">
        <v>24</v>
      </c>
      <c r="I144" s="3">
        <v>33</v>
      </c>
      <c r="J144" s="3">
        <v>14.2</v>
      </c>
      <c r="K144" s="3" t="s">
        <v>31</v>
      </c>
      <c r="L144" s="4" t="s">
        <v>29</v>
      </c>
      <c r="M144" s="3">
        <v>11.6</v>
      </c>
      <c r="N144" s="3" t="s">
        <v>30</v>
      </c>
    </row>
    <row r="145" spans="1:14" x14ac:dyDescent="0.25">
      <c r="A145" s="3">
        <v>2178</v>
      </c>
      <c r="B145" s="4" t="s">
        <v>45</v>
      </c>
      <c r="C145" s="5">
        <v>45445</v>
      </c>
      <c r="D145" s="3">
        <v>10163</v>
      </c>
      <c r="E145" s="4" t="s">
        <v>13</v>
      </c>
      <c r="F145" s="3">
        <v>28</v>
      </c>
      <c r="G145" s="3" t="s">
        <v>35</v>
      </c>
      <c r="H145" s="3" t="s">
        <v>32</v>
      </c>
      <c r="I145" s="3">
        <v>10</v>
      </c>
      <c r="J145" s="3">
        <v>6.83</v>
      </c>
      <c r="K145" s="3" t="s">
        <v>31</v>
      </c>
      <c r="L145" s="4" t="s">
        <v>29</v>
      </c>
      <c r="M145" s="3">
        <v>7</v>
      </c>
      <c r="N145" s="3" t="s">
        <v>23</v>
      </c>
    </row>
    <row r="146" spans="1:14" x14ac:dyDescent="0.25">
      <c r="A146" s="3">
        <v>2179</v>
      </c>
      <c r="B146" s="4" t="s">
        <v>48</v>
      </c>
      <c r="C146" s="5">
        <v>45309</v>
      </c>
      <c r="D146" s="3">
        <v>10421</v>
      </c>
      <c r="E146" s="4" t="s">
        <v>13</v>
      </c>
      <c r="F146" s="3">
        <v>52</v>
      </c>
      <c r="G146" s="3" t="s">
        <v>15</v>
      </c>
      <c r="H146" s="3" t="s">
        <v>14</v>
      </c>
      <c r="I146" s="3">
        <v>34</v>
      </c>
      <c r="J146" s="3">
        <v>2.72</v>
      </c>
      <c r="K146" s="3" t="s">
        <v>16</v>
      </c>
      <c r="L146" s="4" t="s">
        <v>29</v>
      </c>
      <c r="M146" s="3">
        <v>9.8000000000000007</v>
      </c>
      <c r="N146" s="3" t="s">
        <v>26</v>
      </c>
    </row>
    <row r="147" spans="1:14" x14ac:dyDescent="0.25">
      <c r="A147" s="3">
        <v>2180</v>
      </c>
      <c r="B147" s="4" t="s">
        <v>38</v>
      </c>
      <c r="C147" s="5">
        <v>45513</v>
      </c>
      <c r="D147" s="3">
        <v>10294</v>
      </c>
      <c r="E147" s="4" t="s">
        <v>19</v>
      </c>
      <c r="F147" s="3">
        <v>28</v>
      </c>
      <c r="G147" s="3" t="s">
        <v>14</v>
      </c>
      <c r="H147" s="3" t="s">
        <v>25</v>
      </c>
      <c r="I147" s="3">
        <v>57</v>
      </c>
      <c r="J147" s="3">
        <v>6.95</v>
      </c>
      <c r="K147" s="3" t="s">
        <v>31</v>
      </c>
      <c r="L147" s="4" t="s">
        <v>29</v>
      </c>
      <c r="M147" s="3">
        <v>16.399999999999999</v>
      </c>
      <c r="N147" s="3" t="s">
        <v>30</v>
      </c>
    </row>
    <row r="148" spans="1:14" x14ac:dyDescent="0.25">
      <c r="A148" s="3">
        <v>2181</v>
      </c>
      <c r="B148" s="4" t="s">
        <v>42</v>
      </c>
      <c r="C148" s="5">
        <v>45632</v>
      </c>
      <c r="D148" s="3">
        <v>10298</v>
      </c>
      <c r="E148" s="4" t="s">
        <v>19</v>
      </c>
      <c r="F148" s="3">
        <v>30</v>
      </c>
      <c r="G148" s="3" t="s">
        <v>14</v>
      </c>
      <c r="H148" s="3" t="s">
        <v>27</v>
      </c>
      <c r="I148" s="3">
        <v>59</v>
      </c>
      <c r="J148" s="3">
        <v>8.08</v>
      </c>
      <c r="K148" s="3" t="s">
        <v>16</v>
      </c>
      <c r="L148" s="4" t="s">
        <v>29</v>
      </c>
      <c r="M148" s="3">
        <v>14.8</v>
      </c>
      <c r="N148" s="3" t="s">
        <v>26</v>
      </c>
    </row>
    <row r="149" spans="1:14" x14ac:dyDescent="0.25">
      <c r="A149" s="3">
        <v>2183</v>
      </c>
      <c r="B149" s="4" t="s">
        <v>41</v>
      </c>
      <c r="C149" s="5">
        <v>45611</v>
      </c>
      <c r="D149" s="3">
        <v>10154</v>
      </c>
      <c r="E149" s="4" t="s">
        <v>19</v>
      </c>
      <c r="F149" s="3">
        <v>38</v>
      </c>
      <c r="G149" s="3" t="s">
        <v>33</v>
      </c>
      <c r="H149" s="3" t="s">
        <v>14</v>
      </c>
      <c r="I149" s="3">
        <v>60</v>
      </c>
      <c r="J149" s="3">
        <v>2.17</v>
      </c>
      <c r="K149" s="3" t="s">
        <v>16</v>
      </c>
      <c r="L149" s="4" t="s">
        <v>22</v>
      </c>
      <c r="M149" s="3">
        <v>15</v>
      </c>
      <c r="N149" s="3" t="s">
        <v>23</v>
      </c>
    </row>
    <row r="150" spans="1:14" x14ac:dyDescent="0.25">
      <c r="A150" s="3">
        <v>2184</v>
      </c>
      <c r="B150" s="4" t="s">
        <v>40</v>
      </c>
      <c r="C150" s="5">
        <v>45343</v>
      </c>
      <c r="D150" s="3">
        <v>10106</v>
      </c>
      <c r="E150" s="4" t="s">
        <v>19</v>
      </c>
      <c r="F150" s="3">
        <v>19</v>
      </c>
      <c r="G150" s="3" t="s">
        <v>28</v>
      </c>
      <c r="H150" s="3" t="s">
        <v>21</v>
      </c>
      <c r="I150" s="3">
        <v>34</v>
      </c>
      <c r="J150" s="3">
        <v>6.93</v>
      </c>
      <c r="K150" s="3" t="s">
        <v>16</v>
      </c>
      <c r="L150" s="4" t="s">
        <v>17</v>
      </c>
      <c r="M150" s="3">
        <v>9.8000000000000007</v>
      </c>
      <c r="N150" s="3" t="s">
        <v>30</v>
      </c>
    </row>
    <row r="151" spans="1:14" x14ac:dyDescent="0.25">
      <c r="A151" s="3">
        <v>2185</v>
      </c>
      <c r="B151" s="4" t="s">
        <v>47</v>
      </c>
      <c r="C151" s="5">
        <v>45503</v>
      </c>
      <c r="D151" s="3">
        <v>10034</v>
      </c>
      <c r="E151" s="4" t="s">
        <v>13</v>
      </c>
      <c r="F151" s="3">
        <v>19</v>
      </c>
      <c r="G151" s="3" t="s">
        <v>32</v>
      </c>
      <c r="H151" s="3" t="s">
        <v>33</v>
      </c>
      <c r="I151" s="3">
        <v>40</v>
      </c>
      <c r="J151" s="3">
        <v>5.82</v>
      </c>
      <c r="K151" s="3" t="s">
        <v>16</v>
      </c>
      <c r="L151" s="4" t="s">
        <v>29</v>
      </c>
      <c r="M151" s="3">
        <v>11</v>
      </c>
      <c r="N151" s="3" t="s">
        <v>30</v>
      </c>
    </row>
    <row r="152" spans="1:14" x14ac:dyDescent="0.25">
      <c r="A152" s="3">
        <v>2186</v>
      </c>
      <c r="B152" s="4" t="s">
        <v>42</v>
      </c>
      <c r="C152" s="5">
        <v>45651</v>
      </c>
      <c r="D152" s="3">
        <v>10236</v>
      </c>
      <c r="E152" s="4" t="s">
        <v>19</v>
      </c>
      <c r="F152" s="3">
        <v>39</v>
      </c>
      <c r="G152" s="3" t="s">
        <v>21</v>
      </c>
      <c r="H152" s="3" t="s">
        <v>34</v>
      </c>
      <c r="I152" s="3">
        <v>40</v>
      </c>
      <c r="J152" s="3">
        <v>8.33</v>
      </c>
      <c r="K152" s="3" t="s">
        <v>16</v>
      </c>
      <c r="L152" s="4" t="s">
        <v>22</v>
      </c>
      <c r="M152" s="3">
        <v>11</v>
      </c>
      <c r="N152" s="3" t="s">
        <v>26</v>
      </c>
    </row>
    <row r="153" spans="1:14" x14ac:dyDescent="0.25">
      <c r="A153" s="3">
        <v>2187</v>
      </c>
      <c r="B153" s="4" t="s">
        <v>37</v>
      </c>
      <c r="C153" s="5">
        <v>45399</v>
      </c>
      <c r="D153" s="3">
        <v>10392</v>
      </c>
      <c r="E153" s="4" t="s">
        <v>13</v>
      </c>
      <c r="F153" s="3">
        <v>46</v>
      </c>
      <c r="G153" s="3" t="s">
        <v>28</v>
      </c>
      <c r="H153" s="3" t="s">
        <v>20</v>
      </c>
      <c r="I153" s="3">
        <v>19</v>
      </c>
      <c r="J153" s="3">
        <v>10.84</v>
      </c>
      <c r="K153" s="3" t="s">
        <v>16</v>
      </c>
      <c r="L153" s="4" t="s">
        <v>29</v>
      </c>
      <c r="M153" s="3">
        <v>6.8</v>
      </c>
      <c r="N153" s="3" t="s">
        <v>18</v>
      </c>
    </row>
    <row r="154" spans="1:14" x14ac:dyDescent="0.25">
      <c r="A154" s="3">
        <v>2188</v>
      </c>
      <c r="B154" s="4" t="s">
        <v>38</v>
      </c>
      <c r="C154" s="5">
        <v>45513</v>
      </c>
      <c r="D154" s="3">
        <v>10087</v>
      </c>
      <c r="E154" s="4" t="s">
        <v>19</v>
      </c>
      <c r="F154" s="3">
        <v>23</v>
      </c>
      <c r="G154" s="3" t="s">
        <v>32</v>
      </c>
      <c r="H154" s="3" t="s">
        <v>25</v>
      </c>
      <c r="I154" s="3">
        <v>60</v>
      </c>
      <c r="J154" s="3">
        <v>1.79</v>
      </c>
      <c r="K154" s="3" t="s">
        <v>31</v>
      </c>
      <c r="L154" s="4" t="s">
        <v>22</v>
      </c>
      <c r="M154" s="3">
        <v>17</v>
      </c>
      <c r="N154" s="3" t="s">
        <v>30</v>
      </c>
    </row>
    <row r="155" spans="1:14" x14ac:dyDescent="0.25">
      <c r="A155" s="3">
        <v>2189</v>
      </c>
      <c r="B155" s="4" t="s">
        <v>44</v>
      </c>
      <c r="C155" s="5">
        <v>45592</v>
      </c>
      <c r="D155" s="3">
        <v>10218</v>
      </c>
      <c r="E155" s="4" t="s">
        <v>13</v>
      </c>
      <c r="F155" s="3">
        <v>41</v>
      </c>
      <c r="G155" s="3" t="s">
        <v>15</v>
      </c>
      <c r="H155" s="3" t="s">
        <v>15</v>
      </c>
      <c r="I155" s="3">
        <v>47</v>
      </c>
      <c r="J155" s="3">
        <v>11.19</v>
      </c>
      <c r="K155" s="3" t="s">
        <v>16</v>
      </c>
      <c r="L155" s="4" t="s">
        <v>29</v>
      </c>
      <c r="M155" s="3">
        <v>12.4</v>
      </c>
      <c r="N155" s="3" t="s">
        <v>30</v>
      </c>
    </row>
    <row r="156" spans="1:14" x14ac:dyDescent="0.25">
      <c r="A156" s="3">
        <v>2192</v>
      </c>
      <c r="B156" s="4" t="s">
        <v>39</v>
      </c>
      <c r="C156" s="5">
        <v>45442</v>
      </c>
      <c r="D156" s="3">
        <v>10372</v>
      </c>
      <c r="E156" s="4" t="s">
        <v>19</v>
      </c>
      <c r="F156" s="3">
        <v>18</v>
      </c>
      <c r="G156" s="3" t="s">
        <v>21</v>
      </c>
      <c r="H156" s="3" t="s">
        <v>33</v>
      </c>
      <c r="I156" s="3">
        <v>16</v>
      </c>
      <c r="J156" s="3">
        <v>7.22</v>
      </c>
      <c r="K156" s="3" t="s">
        <v>16</v>
      </c>
      <c r="L156" s="4" t="s">
        <v>22</v>
      </c>
      <c r="M156" s="3">
        <v>6.2</v>
      </c>
      <c r="N156" s="3" t="s">
        <v>26</v>
      </c>
    </row>
    <row r="157" spans="1:14" x14ac:dyDescent="0.25">
      <c r="A157" s="3">
        <v>2193</v>
      </c>
      <c r="B157" s="4" t="s">
        <v>42</v>
      </c>
      <c r="C157" s="5">
        <v>45644</v>
      </c>
      <c r="D157" s="3">
        <v>10162</v>
      </c>
      <c r="E157" s="4" t="s">
        <v>13</v>
      </c>
      <c r="F157" s="3">
        <v>40</v>
      </c>
      <c r="G157" s="3" t="s">
        <v>32</v>
      </c>
      <c r="H157" s="3" t="s">
        <v>34</v>
      </c>
      <c r="I157" s="3">
        <v>9</v>
      </c>
      <c r="J157" s="3">
        <v>14.64</v>
      </c>
      <c r="K157" s="3" t="s">
        <v>16</v>
      </c>
      <c r="L157" s="4" t="s">
        <v>17</v>
      </c>
      <c r="M157" s="3">
        <v>4.8</v>
      </c>
      <c r="N157" s="3" t="s">
        <v>30</v>
      </c>
    </row>
    <row r="158" spans="1:14" x14ac:dyDescent="0.25">
      <c r="A158" s="3">
        <v>2194</v>
      </c>
      <c r="B158" s="4" t="s">
        <v>48</v>
      </c>
      <c r="C158" s="5">
        <v>45312</v>
      </c>
      <c r="D158" s="3">
        <v>10137</v>
      </c>
      <c r="E158" s="4" t="s">
        <v>19</v>
      </c>
      <c r="F158" s="3">
        <v>31</v>
      </c>
      <c r="G158" s="3" t="s">
        <v>35</v>
      </c>
      <c r="H158" s="3" t="s">
        <v>24</v>
      </c>
      <c r="I158" s="3">
        <v>53</v>
      </c>
      <c r="J158" s="3">
        <v>14.61</v>
      </c>
      <c r="K158" s="3" t="s">
        <v>16</v>
      </c>
      <c r="L158" s="4" t="s">
        <v>22</v>
      </c>
      <c r="M158" s="3">
        <v>13.6</v>
      </c>
      <c r="N158" s="3" t="s">
        <v>23</v>
      </c>
    </row>
    <row r="159" spans="1:14" x14ac:dyDescent="0.25">
      <c r="A159" s="3">
        <v>2196</v>
      </c>
      <c r="B159" s="4" t="s">
        <v>45</v>
      </c>
      <c r="C159" s="5">
        <v>45462</v>
      </c>
      <c r="D159" s="3">
        <v>10301</v>
      </c>
      <c r="E159" s="4" t="s">
        <v>13</v>
      </c>
      <c r="F159" s="3">
        <v>47</v>
      </c>
      <c r="G159" s="3" t="s">
        <v>34</v>
      </c>
      <c r="H159" s="3" t="s">
        <v>20</v>
      </c>
      <c r="I159" s="3">
        <v>11</v>
      </c>
      <c r="J159" s="3">
        <v>9.0500000000000007</v>
      </c>
      <c r="K159" s="3" t="s">
        <v>31</v>
      </c>
      <c r="L159" s="4" t="s">
        <v>17</v>
      </c>
      <c r="M159" s="3">
        <v>7.2</v>
      </c>
      <c r="N159" s="3" t="s">
        <v>30</v>
      </c>
    </row>
    <row r="160" spans="1:14" x14ac:dyDescent="0.25">
      <c r="A160" s="3">
        <v>2197</v>
      </c>
      <c r="B160" s="4" t="s">
        <v>44</v>
      </c>
      <c r="C160" s="5">
        <v>45591</v>
      </c>
      <c r="D160" s="3">
        <v>10374</v>
      </c>
      <c r="E160" s="4" t="s">
        <v>19</v>
      </c>
      <c r="F160" s="3">
        <v>48</v>
      </c>
      <c r="G160" s="3" t="s">
        <v>14</v>
      </c>
      <c r="H160" s="3" t="s">
        <v>24</v>
      </c>
      <c r="I160" s="3">
        <v>52</v>
      </c>
      <c r="J160" s="3">
        <v>11.94</v>
      </c>
      <c r="K160" s="3" t="s">
        <v>16</v>
      </c>
      <c r="L160" s="4" t="s">
        <v>17</v>
      </c>
      <c r="M160" s="3">
        <v>13.4</v>
      </c>
      <c r="N160" s="3" t="s">
        <v>26</v>
      </c>
    </row>
    <row r="161" spans="1:14" x14ac:dyDescent="0.25">
      <c r="A161" s="3">
        <v>2198</v>
      </c>
      <c r="B161" s="4" t="s">
        <v>40</v>
      </c>
      <c r="C161" s="5">
        <v>45347</v>
      </c>
      <c r="D161" s="3">
        <v>10160</v>
      </c>
      <c r="E161" s="4" t="s">
        <v>13</v>
      </c>
      <c r="F161" s="3">
        <v>43</v>
      </c>
      <c r="G161" s="3" t="s">
        <v>35</v>
      </c>
      <c r="H161" s="3" t="s">
        <v>35</v>
      </c>
      <c r="I161" s="3">
        <v>42</v>
      </c>
      <c r="J161" s="3">
        <v>9.1199999999999992</v>
      </c>
      <c r="K161" s="3" t="s">
        <v>31</v>
      </c>
      <c r="L161" s="4" t="s">
        <v>17</v>
      </c>
      <c r="M161" s="3">
        <v>13.4</v>
      </c>
      <c r="N161" s="3" t="s">
        <v>23</v>
      </c>
    </row>
    <row r="162" spans="1:14" x14ac:dyDescent="0.25">
      <c r="A162" s="3">
        <v>2199</v>
      </c>
      <c r="B162" s="4" t="s">
        <v>48</v>
      </c>
      <c r="C162" s="5">
        <v>45312</v>
      </c>
      <c r="D162" s="3">
        <v>10475</v>
      </c>
      <c r="E162" s="4" t="s">
        <v>13</v>
      </c>
      <c r="F162" s="3">
        <v>20</v>
      </c>
      <c r="G162" s="3" t="s">
        <v>32</v>
      </c>
      <c r="H162" s="3" t="s">
        <v>21</v>
      </c>
      <c r="I162" s="3">
        <v>43</v>
      </c>
      <c r="J162" s="3">
        <v>5.76</v>
      </c>
      <c r="K162" s="3" t="s">
        <v>16</v>
      </c>
      <c r="L162" s="4" t="s">
        <v>29</v>
      </c>
      <c r="M162" s="3">
        <v>11.6</v>
      </c>
      <c r="N162" s="3" t="s">
        <v>30</v>
      </c>
    </row>
    <row r="163" spans="1:14" x14ac:dyDescent="0.25">
      <c r="A163" s="3">
        <v>2200</v>
      </c>
      <c r="B163" s="4" t="s">
        <v>40</v>
      </c>
      <c r="C163" s="5">
        <v>45339</v>
      </c>
      <c r="D163" s="3">
        <v>10273</v>
      </c>
      <c r="E163" s="4" t="s">
        <v>19</v>
      </c>
      <c r="F163" s="3">
        <v>32</v>
      </c>
      <c r="G163" s="3" t="s">
        <v>20</v>
      </c>
      <c r="H163" s="3" t="s">
        <v>24</v>
      </c>
      <c r="I163" s="3">
        <v>49</v>
      </c>
      <c r="J163" s="3">
        <v>2.5499999999999998</v>
      </c>
      <c r="K163" s="3" t="s">
        <v>16</v>
      </c>
      <c r="L163" s="4" t="s">
        <v>29</v>
      </c>
      <c r="M163" s="3">
        <v>12.8</v>
      </c>
      <c r="N163" s="3" t="s">
        <v>18</v>
      </c>
    </row>
    <row r="164" spans="1:14" x14ac:dyDescent="0.25">
      <c r="A164" s="3">
        <v>2201</v>
      </c>
      <c r="B164" s="4" t="s">
        <v>41</v>
      </c>
      <c r="C164" s="5">
        <v>45621</v>
      </c>
      <c r="D164" s="3">
        <v>10318</v>
      </c>
      <c r="E164" s="4" t="s">
        <v>19</v>
      </c>
      <c r="F164" s="3">
        <v>30</v>
      </c>
      <c r="G164" s="3" t="s">
        <v>24</v>
      </c>
      <c r="H164" s="3" t="s">
        <v>15</v>
      </c>
      <c r="I164" s="3">
        <v>39</v>
      </c>
      <c r="J164" s="3">
        <v>14.44</v>
      </c>
      <c r="K164" s="3" t="s">
        <v>16</v>
      </c>
      <c r="L164" s="4" t="s">
        <v>22</v>
      </c>
      <c r="M164" s="3">
        <v>10.8</v>
      </c>
      <c r="N164" s="3" t="s">
        <v>23</v>
      </c>
    </row>
    <row r="165" spans="1:14" x14ac:dyDescent="0.25">
      <c r="A165" s="3">
        <v>2203</v>
      </c>
      <c r="B165" s="4" t="s">
        <v>39</v>
      </c>
      <c r="C165" s="5">
        <v>45428</v>
      </c>
      <c r="D165" s="3">
        <v>10150</v>
      </c>
      <c r="E165" s="4" t="s">
        <v>13</v>
      </c>
      <c r="F165" s="3">
        <v>40</v>
      </c>
      <c r="G165" s="3" t="s">
        <v>27</v>
      </c>
      <c r="H165" s="3" t="s">
        <v>35</v>
      </c>
      <c r="I165" s="3">
        <v>11</v>
      </c>
      <c r="J165" s="3">
        <v>6.88</v>
      </c>
      <c r="K165" s="3" t="s">
        <v>31</v>
      </c>
      <c r="L165" s="4" t="s">
        <v>29</v>
      </c>
      <c r="M165" s="3">
        <v>7.2</v>
      </c>
      <c r="N165" s="3" t="s">
        <v>18</v>
      </c>
    </row>
    <row r="166" spans="1:14" x14ac:dyDescent="0.25">
      <c r="A166" s="3">
        <v>2204</v>
      </c>
      <c r="B166" s="4" t="s">
        <v>37</v>
      </c>
      <c r="C166" s="5">
        <v>45402</v>
      </c>
      <c r="D166" s="3">
        <v>10039</v>
      </c>
      <c r="E166" s="4" t="s">
        <v>19</v>
      </c>
      <c r="F166" s="3">
        <v>19</v>
      </c>
      <c r="G166" s="3" t="s">
        <v>14</v>
      </c>
      <c r="H166" s="3" t="s">
        <v>27</v>
      </c>
      <c r="I166" s="3">
        <v>50</v>
      </c>
      <c r="J166" s="3">
        <v>6.47</v>
      </c>
      <c r="K166" s="3" t="s">
        <v>31</v>
      </c>
      <c r="L166" s="4" t="s">
        <v>17</v>
      </c>
      <c r="M166" s="3">
        <v>15</v>
      </c>
      <c r="N166" s="3" t="s">
        <v>23</v>
      </c>
    </row>
    <row r="167" spans="1:14" x14ac:dyDescent="0.25">
      <c r="A167" s="3">
        <v>2205</v>
      </c>
      <c r="B167" s="4" t="s">
        <v>39</v>
      </c>
      <c r="C167" s="5">
        <v>45422</v>
      </c>
      <c r="D167" s="3">
        <v>10399</v>
      </c>
      <c r="E167" s="4" t="s">
        <v>19</v>
      </c>
      <c r="F167" s="3">
        <v>39</v>
      </c>
      <c r="G167" s="3" t="s">
        <v>14</v>
      </c>
      <c r="H167" s="3" t="s">
        <v>33</v>
      </c>
      <c r="I167" s="3">
        <v>31</v>
      </c>
      <c r="J167" s="3">
        <v>11.66</v>
      </c>
      <c r="K167" s="3" t="s">
        <v>31</v>
      </c>
      <c r="L167" s="4" t="s">
        <v>29</v>
      </c>
      <c r="M167" s="3">
        <v>11.2</v>
      </c>
      <c r="N167" s="3" t="s">
        <v>18</v>
      </c>
    </row>
    <row r="168" spans="1:14" x14ac:dyDescent="0.25">
      <c r="A168" s="3">
        <v>2206</v>
      </c>
      <c r="B168" s="4" t="s">
        <v>44</v>
      </c>
      <c r="C168" s="5">
        <v>45570</v>
      </c>
      <c r="D168" s="3">
        <v>10147</v>
      </c>
      <c r="E168" s="4" t="s">
        <v>13</v>
      </c>
      <c r="F168" s="3">
        <v>40</v>
      </c>
      <c r="G168" s="3" t="s">
        <v>21</v>
      </c>
      <c r="H168" s="3" t="s">
        <v>27</v>
      </c>
      <c r="I168" s="3">
        <v>46</v>
      </c>
      <c r="J168" s="3">
        <v>14.65</v>
      </c>
      <c r="K168" s="3" t="s">
        <v>31</v>
      </c>
      <c r="L168" s="4" t="s">
        <v>17</v>
      </c>
      <c r="M168" s="3">
        <v>14.2</v>
      </c>
      <c r="N168" s="3" t="s">
        <v>18</v>
      </c>
    </row>
    <row r="169" spans="1:14" x14ac:dyDescent="0.25">
      <c r="A169" s="3">
        <v>2207</v>
      </c>
      <c r="B169" s="4" t="s">
        <v>45</v>
      </c>
      <c r="C169" s="5">
        <v>45463</v>
      </c>
      <c r="D169" s="3">
        <v>10178</v>
      </c>
      <c r="E169" s="4" t="s">
        <v>13</v>
      </c>
      <c r="F169" s="3">
        <v>52</v>
      </c>
      <c r="G169" s="3" t="s">
        <v>27</v>
      </c>
      <c r="H169" s="3" t="s">
        <v>34</v>
      </c>
      <c r="I169" s="3">
        <v>51</v>
      </c>
      <c r="J169" s="3">
        <v>11.93</v>
      </c>
      <c r="K169" s="3" t="s">
        <v>16</v>
      </c>
      <c r="L169" s="4" t="s">
        <v>17</v>
      </c>
      <c r="M169" s="3">
        <v>13.2</v>
      </c>
      <c r="N169" s="3" t="s">
        <v>18</v>
      </c>
    </row>
    <row r="170" spans="1:14" x14ac:dyDescent="0.25">
      <c r="A170" s="3">
        <v>2209</v>
      </c>
      <c r="B170" s="4" t="s">
        <v>41</v>
      </c>
      <c r="C170" s="5">
        <v>45614</v>
      </c>
      <c r="D170" s="3">
        <v>10325</v>
      </c>
      <c r="E170" s="4" t="s">
        <v>19</v>
      </c>
      <c r="F170" s="3">
        <v>31</v>
      </c>
      <c r="G170" s="3" t="s">
        <v>34</v>
      </c>
      <c r="H170" s="3" t="s">
        <v>15</v>
      </c>
      <c r="I170" s="3">
        <v>38</v>
      </c>
      <c r="J170" s="3">
        <v>4.63</v>
      </c>
      <c r="K170" s="3" t="s">
        <v>31</v>
      </c>
      <c r="L170" s="4" t="s">
        <v>17</v>
      </c>
      <c r="M170" s="3">
        <v>12.6</v>
      </c>
      <c r="N170" s="3" t="s">
        <v>26</v>
      </c>
    </row>
    <row r="171" spans="1:14" x14ac:dyDescent="0.25">
      <c r="A171" s="3">
        <v>2210</v>
      </c>
      <c r="B171" s="4" t="s">
        <v>46</v>
      </c>
      <c r="C171" s="5">
        <v>45363</v>
      </c>
      <c r="D171" s="3">
        <v>10439</v>
      </c>
      <c r="E171" s="4" t="s">
        <v>13</v>
      </c>
      <c r="F171" s="3">
        <v>51</v>
      </c>
      <c r="G171" s="3" t="s">
        <v>28</v>
      </c>
      <c r="H171" s="3" t="s">
        <v>35</v>
      </c>
      <c r="I171" s="3">
        <v>22</v>
      </c>
      <c r="J171" s="3">
        <v>7.03</v>
      </c>
      <c r="K171" s="3" t="s">
        <v>16</v>
      </c>
      <c r="L171" s="4" t="s">
        <v>29</v>
      </c>
      <c r="M171" s="3">
        <v>7.4</v>
      </c>
      <c r="N171" s="3" t="s">
        <v>23</v>
      </c>
    </row>
    <row r="172" spans="1:14" x14ac:dyDescent="0.25">
      <c r="A172" s="3">
        <v>2213</v>
      </c>
      <c r="B172" s="4" t="s">
        <v>40</v>
      </c>
      <c r="C172" s="5">
        <v>45330</v>
      </c>
      <c r="D172" s="3">
        <v>10312</v>
      </c>
      <c r="E172" s="4" t="s">
        <v>13</v>
      </c>
      <c r="F172" s="3">
        <v>45</v>
      </c>
      <c r="G172" s="3" t="s">
        <v>15</v>
      </c>
      <c r="H172" s="3" t="s">
        <v>27</v>
      </c>
      <c r="I172" s="3">
        <v>55</v>
      </c>
      <c r="J172" s="3">
        <v>8.81</v>
      </c>
      <c r="K172" s="3" t="s">
        <v>31</v>
      </c>
      <c r="L172" s="4" t="s">
        <v>17</v>
      </c>
      <c r="M172" s="3">
        <v>16</v>
      </c>
      <c r="N172" s="3" t="s">
        <v>30</v>
      </c>
    </row>
    <row r="173" spans="1:14" x14ac:dyDescent="0.25">
      <c r="A173" s="3">
        <v>2214</v>
      </c>
      <c r="B173" s="4" t="s">
        <v>37</v>
      </c>
      <c r="C173" s="5">
        <v>45404</v>
      </c>
      <c r="D173" s="3">
        <v>10340</v>
      </c>
      <c r="E173" s="4" t="s">
        <v>19</v>
      </c>
      <c r="F173" s="3">
        <v>40</v>
      </c>
      <c r="G173" s="3" t="s">
        <v>20</v>
      </c>
      <c r="H173" s="3" t="s">
        <v>15</v>
      </c>
      <c r="I173" s="3">
        <v>59</v>
      </c>
      <c r="J173" s="3">
        <v>12.12</v>
      </c>
      <c r="K173" s="3" t="s">
        <v>16</v>
      </c>
      <c r="L173" s="4" t="s">
        <v>29</v>
      </c>
      <c r="M173" s="3">
        <v>14.8</v>
      </c>
      <c r="N173" s="3" t="s">
        <v>26</v>
      </c>
    </row>
    <row r="174" spans="1:14" x14ac:dyDescent="0.25">
      <c r="A174" s="3">
        <v>2215</v>
      </c>
      <c r="B174" s="4" t="s">
        <v>44</v>
      </c>
      <c r="C174" s="5">
        <v>45576</v>
      </c>
      <c r="D174" s="3">
        <v>10152</v>
      </c>
      <c r="E174" s="4" t="s">
        <v>19</v>
      </c>
      <c r="F174" s="3">
        <v>43</v>
      </c>
      <c r="G174" s="3" t="s">
        <v>25</v>
      </c>
      <c r="H174" s="3" t="s">
        <v>35</v>
      </c>
      <c r="I174" s="3">
        <v>23</v>
      </c>
      <c r="J174" s="3">
        <v>13.22</v>
      </c>
      <c r="K174" s="3" t="s">
        <v>16</v>
      </c>
      <c r="L174" s="4" t="s">
        <v>17</v>
      </c>
      <c r="M174" s="3">
        <v>7.6</v>
      </c>
      <c r="N174" s="3" t="s">
        <v>30</v>
      </c>
    </row>
    <row r="175" spans="1:14" x14ac:dyDescent="0.25">
      <c r="A175" s="3">
        <v>2216</v>
      </c>
      <c r="B175" s="4" t="s">
        <v>44</v>
      </c>
      <c r="C175" s="5">
        <v>45577</v>
      </c>
      <c r="D175" s="3">
        <v>10376</v>
      </c>
      <c r="E175" s="4" t="s">
        <v>19</v>
      </c>
      <c r="F175" s="3">
        <v>48</v>
      </c>
      <c r="G175" s="3" t="s">
        <v>24</v>
      </c>
      <c r="H175" s="3" t="s">
        <v>15</v>
      </c>
      <c r="I175" s="3">
        <v>19</v>
      </c>
      <c r="J175" s="3">
        <v>8.0500000000000007</v>
      </c>
      <c r="K175" s="3" t="s">
        <v>31</v>
      </c>
      <c r="L175" s="4" t="s">
        <v>29</v>
      </c>
      <c r="M175" s="3">
        <v>8.8000000000000007</v>
      </c>
      <c r="N175" s="3" t="s">
        <v>26</v>
      </c>
    </row>
    <row r="176" spans="1:14" x14ac:dyDescent="0.25">
      <c r="A176" s="3">
        <v>2217</v>
      </c>
      <c r="B176" s="4" t="s">
        <v>46</v>
      </c>
      <c r="C176" s="5">
        <v>45379</v>
      </c>
      <c r="D176" s="3">
        <v>10315</v>
      </c>
      <c r="E176" s="4" t="s">
        <v>13</v>
      </c>
      <c r="F176" s="3">
        <v>35</v>
      </c>
      <c r="G176" s="3" t="s">
        <v>24</v>
      </c>
      <c r="H176" s="3" t="s">
        <v>27</v>
      </c>
      <c r="I176" s="3">
        <v>52</v>
      </c>
      <c r="J176" s="3">
        <v>7.19</v>
      </c>
      <c r="K176" s="3" t="s">
        <v>16</v>
      </c>
      <c r="L176" s="4" t="s">
        <v>29</v>
      </c>
      <c r="M176" s="3">
        <v>13.4</v>
      </c>
      <c r="N176" s="3" t="s">
        <v>26</v>
      </c>
    </row>
    <row r="177" spans="1:14" x14ac:dyDescent="0.25">
      <c r="A177" s="3">
        <v>2218</v>
      </c>
      <c r="B177" s="4" t="s">
        <v>45</v>
      </c>
      <c r="C177" s="5">
        <v>45471</v>
      </c>
      <c r="D177" s="3">
        <v>10319</v>
      </c>
      <c r="E177" s="4" t="s">
        <v>13</v>
      </c>
      <c r="F177" s="3">
        <v>33</v>
      </c>
      <c r="G177" s="3" t="s">
        <v>35</v>
      </c>
      <c r="H177" s="3" t="s">
        <v>33</v>
      </c>
      <c r="I177" s="3">
        <v>16</v>
      </c>
      <c r="J177" s="3">
        <v>11.79</v>
      </c>
      <c r="K177" s="3" t="s">
        <v>31</v>
      </c>
      <c r="L177" s="4" t="s">
        <v>17</v>
      </c>
      <c r="M177" s="3">
        <v>8.1999999999999993</v>
      </c>
      <c r="N177" s="3" t="s">
        <v>26</v>
      </c>
    </row>
    <row r="178" spans="1:14" x14ac:dyDescent="0.25">
      <c r="A178" s="3">
        <v>2220</v>
      </c>
      <c r="B178" s="4" t="s">
        <v>46</v>
      </c>
      <c r="C178" s="5">
        <v>45355</v>
      </c>
      <c r="D178" s="3">
        <v>10296</v>
      </c>
      <c r="E178" s="4" t="s">
        <v>13</v>
      </c>
      <c r="F178" s="3">
        <v>54</v>
      </c>
      <c r="G178" s="3" t="s">
        <v>15</v>
      </c>
      <c r="H178" s="3" t="s">
        <v>34</v>
      </c>
      <c r="I178" s="3">
        <v>38</v>
      </c>
      <c r="J178" s="3">
        <v>10.68</v>
      </c>
      <c r="K178" s="3" t="s">
        <v>31</v>
      </c>
      <c r="L178" s="4" t="s">
        <v>17</v>
      </c>
      <c r="M178" s="3">
        <v>12.6</v>
      </c>
      <c r="N178" s="3" t="s">
        <v>23</v>
      </c>
    </row>
    <row r="179" spans="1:14" x14ac:dyDescent="0.25">
      <c r="A179" s="3">
        <v>2222</v>
      </c>
      <c r="B179" s="4" t="s">
        <v>44</v>
      </c>
      <c r="C179" s="5">
        <v>45590</v>
      </c>
      <c r="D179" s="3">
        <v>10305</v>
      </c>
      <c r="E179" s="4" t="s">
        <v>19</v>
      </c>
      <c r="F179" s="3">
        <v>33</v>
      </c>
      <c r="G179" s="3" t="s">
        <v>34</v>
      </c>
      <c r="H179" s="3" t="s">
        <v>24</v>
      </c>
      <c r="I179" s="3">
        <v>42</v>
      </c>
      <c r="J179" s="3">
        <v>4.84</v>
      </c>
      <c r="K179" s="3" t="s">
        <v>31</v>
      </c>
      <c r="L179" s="4" t="s">
        <v>29</v>
      </c>
      <c r="M179" s="3">
        <v>13.4</v>
      </c>
      <c r="N179" s="3" t="s">
        <v>30</v>
      </c>
    </row>
    <row r="180" spans="1:14" x14ac:dyDescent="0.25">
      <c r="A180" s="3">
        <v>2224</v>
      </c>
      <c r="B180" s="4" t="s">
        <v>39</v>
      </c>
      <c r="C180" s="5">
        <v>45442</v>
      </c>
      <c r="D180" s="3">
        <v>10415</v>
      </c>
      <c r="E180" s="4" t="s">
        <v>13</v>
      </c>
      <c r="F180" s="3">
        <v>39</v>
      </c>
      <c r="G180" s="3" t="s">
        <v>33</v>
      </c>
      <c r="H180" s="3" t="s">
        <v>14</v>
      </c>
      <c r="I180" s="3">
        <v>28</v>
      </c>
      <c r="J180" s="3">
        <v>8.69</v>
      </c>
      <c r="K180" s="3" t="s">
        <v>16</v>
      </c>
      <c r="L180" s="4" t="s">
        <v>22</v>
      </c>
      <c r="M180" s="3">
        <v>8.6</v>
      </c>
      <c r="N180" s="3" t="s">
        <v>18</v>
      </c>
    </row>
    <row r="181" spans="1:14" x14ac:dyDescent="0.25">
      <c r="A181" s="3">
        <v>2225</v>
      </c>
      <c r="B181" s="4" t="s">
        <v>43</v>
      </c>
      <c r="C181" s="5">
        <v>45547</v>
      </c>
      <c r="D181" s="3">
        <v>10239</v>
      </c>
      <c r="E181" s="4" t="s">
        <v>13</v>
      </c>
      <c r="F181" s="3">
        <v>23</v>
      </c>
      <c r="G181" s="3" t="s">
        <v>25</v>
      </c>
      <c r="H181" s="3" t="s">
        <v>14</v>
      </c>
      <c r="I181" s="3">
        <v>33</v>
      </c>
      <c r="J181" s="3">
        <v>4.0599999999999996</v>
      </c>
      <c r="K181" s="3" t="s">
        <v>31</v>
      </c>
      <c r="L181" s="4" t="s">
        <v>29</v>
      </c>
      <c r="M181" s="3">
        <v>11.6</v>
      </c>
      <c r="N181" s="3" t="s">
        <v>26</v>
      </c>
    </row>
    <row r="182" spans="1:14" x14ac:dyDescent="0.25">
      <c r="A182" s="3">
        <v>2231</v>
      </c>
      <c r="B182" s="4" t="s">
        <v>47</v>
      </c>
      <c r="C182" s="5">
        <v>45496</v>
      </c>
      <c r="D182" s="3">
        <v>10112</v>
      </c>
      <c r="E182" s="4" t="s">
        <v>19</v>
      </c>
      <c r="F182" s="3">
        <v>48</v>
      </c>
      <c r="G182" s="3" t="s">
        <v>33</v>
      </c>
      <c r="H182" s="3" t="s">
        <v>34</v>
      </c>
      <c r="I182" s="3">
        <v>44</v>
      </c>
      <c r="J182" s="3">
        <v>14.79</v>
      </c>
      <c r="K182" s="3" t="s">
        <v>31</v>
      </c>
      <c r="L182" s="4" t="s">
        <v>17</v>
      </c>
      <c r="M182" s="3">
        <v>13.8</v>
      </c>
      <c r="N182" s="3" t="s">
        <v>23</v>
      </c>
    </row>
    <row r="183" spans="1:14" x14ac:dyDescent="0.25">
      <c r="A183" s="3">
        <v>2232</v>
      </c>
      <c r="B183" s="4" t="s">
        <v>44</v>
      </c>
      <c r="C183" s="5">
        <v>45582</v>
      </c>
      <c r="D183" s="3">
        <v>10003</v>
      </c>
      <c r="E183" s="4" t="s">
        <v>13</v>
      </c>
      <c r="F183" s="3">
        <v>48</v>
      </c>
      <c r="G183" s="3" t="s">
        <v>32</v>
      </c>
      <c r="H183" s="3" t="s">
        <v>35</v>
      </c>
      <c r="I183" s="3">
        <v>42</v>
      </c>
      <c r="J183" s="3">
        <v>13.24</v>
      </c>
      <c r="K183" s="3" t="s">
        <v>16</v>
      </c>
      <c r="L183" s="4" t="s">
        <v>29</v>
      </c>
      <c r="M183" s="3">
        <v>11.4</v>
      </c>
      <c r="N183" s="3" t="s">
        <v>18</v>
      </c>
    </row>
    <row r="184" spans="1:14" x14ac:dyDescent="0.25">
      <c r="A184" s="3">
        <v>2233</v>
      </c>
      <c r="B184" s="4" t="s">
        <v>41</v>
      </c>
      <c r="C184" s="5">
        <v>45617</v>
      </c>
      <c r="D184" s="3">
        <v>10265</v>
      </c>
      <c r="E184" s="4" t="s">
        <v>13</v>
      </c>
      <c r="F184" s="3">
        <v>47</v>
      </c>
      <c r="G184" s="3" t="s">
        <v>32</v>
      </c>
      <c r="H184" s="3" t="s">
        <v>35</v>
      </c>
      <c r="I184" s="3">
        <v>38</v>
      </c>
      <c r="J184" s="3">
        <v>13.77</v>
      </c>
      <c r="K184" s="3" t="s">
        <v>16</v>
      </c>
      <c r="L184" s="4" t="s">
        <v>22</v>
      </c>
      <c r="M184" s="3">
        <v>10.6</v>
      </c>
      <c r="N184" s="3" t="s">
        <v>30</v>
      </c>
    </row>
    <row r="185" spans="1:14" x14ac:dyDescent="0.25">
      <c r="A185" s="3">
        <v>2234</v>
      </c>
      <c r="B185" s="4" t="s">
        <v>46</v>
      </c>
      <c r="C185" s="5">
        <v>45366</v>
      </c>
      <c r="D185" s="3">
        <v>10330</v>
      </c>
      <c r="E185" s="4" t="s">
        <v>13</v>
      </c>
      <c r="F185" s="3">
        <v>39</v>
      </c>
      <c r="G185" s="3" t="s">
        <v>35</v>
      </c>
      <c r="H185" s="3" t="s">
        <v>27</v>
      </c>
      <c r="I185" s="3">
        <v>26</v>
      </c>
      <c r="J185" s="3">
        <v>11.46</v>
      </c>
      <c r="K185" s="3" t="s">
        <v>31</v>
      </c>
      <c r="L185" s="4" t="s">
        <v>17</v>
      </c>
      <c r="M185" s="3">
        <v>10.199999999999999</v>
      </c>
      <c r="N185" s="3" t="s">
        <v>18</v>
      </c>
    </row>
    <row r="186" spans="1:14" x14ac:dyDescent="0.25">
      <c r="A186" s="3">
        <v>2236</v>
      </c>
      <c r="B186" s="4" t="s">
        <v>41</v>
      </c>
      <c r="C186" s="5">
        <v>45600</v>
      </c>
      <c r="D186" s="3">
        <v>10275</v>
      </c>
      <c r="E186" s="4" t="s">
        <v>13</v>
      </c>
      <c r="F186" s="3">
        <v>24</v>
      </c>
      <c r="G186" s="3" t="s">
        <v>20</v>
      </c>
      <c r="H186" s="3" t="s">
        <v>24</v>
      </c>
      <c r="I186" s="3">
        <v>10</v>
      </c>
      <c r="J186" s="3">
        <v>5.85</v>
      </c>
      <c r="K186" s="3" t="s">
        <v>31</v>
      </c>
      <c r="L186" s="4" t="s">
        <v>17</v>
      </c>
      <c r="M186" s="3">
        <v>7</v>
      </c>
      <c r="N186" s="3" t="s">
        <v>23</v>
      </c>
    </row>
    <row r="187" spans="1:14" x14ac:dyDescent="0.25">
      <c r="A187" s="3">
        <v>2237</v>
      </c>
      <c r="B187" s="4" t="s">
        <v>40</v>
      </c>
      <c r="C187" s="5">
        <v>45327</v>
      </c>
      <c r="D187" s="3">
        <v>10208</v>
      </c>
      <c r="E187" s="4" t="s">
        <v>13</v>
      </c>
      <c r="F187" s="3">
        <v>24</v>
      </c>
      <c r="G187" s="3" t="s">
        <v>34</v>
      </c>
      <c r="H187" s="3" t="s">
        <v>35</v>
      </c>
      <c r="I187" s="3">
        <v>6</v>
      </c>
      <c r="J187" s="3">
        <v>9.61</v>
      </c>
      <c r="K187" s="3" t="s">
        <v>16</v>
      </c>
      <c r="L187" s="4" t="s">
        <v>22</v>
      </c>
      <c r="M187" s="3">
        <v>4.2</v>
      </c>
      <c r="N187" s="3" t="s">
        <v>30</v>
      </c>
    </row>
    <row r="188" spans="1:14" x14ac:dyDescent="0.25">
      <c r="A188" s="3">
        <v>2238</v>
      </c>
      <c r="B188" s="4" t="s">
        <v>43</v>
      </c>
      <c r="C188" s="5">
        <v>45541</v>
      </c>
      <c r="D188" s="3">
        <v>10385</v>
      </c>
      <c r="E188" s="4" t="s">
        <v>13</v>
      </c>
      <c r="F188" s="3">
        <v>35</v>
      </c>
      <c r="G188" s="3" t="s">
        <v>21</v>
      </c>
      <c r="H188" s="3" t="s">
        <v>27</v>
      </c>
      <c r="I188" s="3">
        <v>53</v>
      </c>
      <c r="J188" s="3">
        <v>14.87</v>
      </c>
      <c r="K188" s="3" t="s">
        <v>16</v>
      </c>
      <c r="L188" s="4" t="s">
        <v>29</v>
      </c>
      <c r="M188" s="3">
        <v>13.6</v>
      </c>
      <c r="N188" s="3" t="s">
        <v>18</v>
      </c>
    </row>
    <row r="189" spans="1:14" x14ac:dyDescent="0.25">
      <c r="A189" s="3">
        <v>2240</v>
      </c>
      <c r="B189" s="4" t="s">
        <v>41</v>
      </c>
      <c r="C189" s="5">
        <v>45606</v>
      </c>
      <c r="D189" s="3">
        <v>10011</v>
      </c>
      <c r="E189" s="4" t="s">
        <v>19</v>
      </c>
      <c r="F189" s="3">
        <v>38</v>
      </c>
      <c r="G189" s="3" t="s">
        <v>24</v>
      </c>
      <c r="H189" s="3" t="s">
        <v>25</v>
      </c>
      <c r="I189" s="3">
        <v>56</v>
      </c>
      <c r="J189" s="3">
        <v>4.17</v>
      </c>
      <c r="K189" s="3" t="s">
        <v>16</v>
      </c>
      <c r="L189" s="4" t="s">
        <v>29</v>
      </c>
      <c r="M189" s="3">
        <v>14.2</v>
      </c>
      <c r="N189" s="3" t="s">
        <v>26</v>
      </c>
    </row>
    <row r="190" spans="1:14" x14ac:dyDescent="0.25">
      <c r="A190" s="3">
        <v>2241</v>
      </c>
      <c r="B190" s="4" t="s">
        <v>46</v>
      </c>
      <c r="C190" s="5">
        <v>45363</v>
      </c>
      <c r="D190" s="3">
        <v>10434</v>
      </c>
      <c r="E190" s="4" t="s">
        <v>19</v>
      </c>
      <c r="F190" s="3">
        <v>18</v>
      </c>
      <c r="G190" s="3" t="s">
        <v>35</v>
      </c>
      <c r="H190" s="3" t="s">
        <v>33</v>
      </c>
      <c r="I190" s="3">
        <v>16</v>
      </c>
      <c r="J190" s="3">
        <v>6.03</v>
      </c>
      <c r="K190" s="3" t="s">
        <v>31</v>
      </c>
      <c r="L190" s="4" t="s">
        <v>22</v>
      </c>
      <c r="M190" s="3">
        <v>8.1999999999999993</v>
      </c>
      <c r="N190" s="3" t="s">
        <v>30</v>
      </c>
    </row>
    <row r="191" spans="1:14" x14ac:dyDescent="0.25">
      <c r="A191" s="3">
        <v>2242</v>
      </c>
      <c r="B191" s="4" t="s">
        <v>47</v>
      </c>
      <c r="C191" s="5">
        <v>45491</v>
      </c>
      <c r="D191" s="3">
        <v>10364</v>
      </c>
      <c r="E191" s="4" t="s">
        <v>19</v>
      </c>
      <c r="F191" s="3">
        <v>53</v>
      </c>
      <c r="G191" s="3" t="s">
        <v>25</v>
      </c>
      <c r="H191" s="3" t="s">
        <v>27</v>
      </c>
      <c r="I191" s="3">
        <v>42</v>
      </c>
      <c r="J191" s="3">
        <v>14.76</v>
      </c>
      <c r="K191" s="3" t="s">
        <v>16</v>
      </c>
      <c r="L191" s="4" t="s">
        <v>29</v>
      </c>
      <c r="M191" s="3">
        <v>11.4</v>
      </c>
      <c r="N191" s="3" t="s">
        <v>30</v>
      </c>
    </row>
    <row r="192" spans="1:14" x14ac:dyDescent="0.25">
      <c r="A192" s="3">
        <v>2244</v>
      </c>
      <c r="B192" s="4" t="s">
        <v>38</v>
      </c>
      <c r="C192" s="5">
        <v>45506</v>
      </c>
      <c r="D192" s="3">
        <v>10181</v>
      </c>
      <c r="E192" s="4" t="s">
        <v>19</v>
      </c>
      <c r="F192" s="3">
        <v>19</v>
      </c>
      <c r="G192" s="3" t="s">
        <v>27</v>
      </c>
      <c r="H192" s="3" t="s">
        <v>20</v>
      </c>
      <c r="I192" s="3">
        <v>10</v>
      </c>
      <c r="J192" s="3">
        <v>7.71</v>
      </c>
      <c r="K192" s="3" t="s">
        <v>31</v>
      </c>
      <c r="L192" s="4" t="s">
        <v>29</v>
      </c>
      <c r="M192" s="3">
        <v>7</v>
      </c>
      <c r="N192" s="3" t="s">
        <v>18</v>
      </c>
    </row>
    <row r="193" spans="1:14" x14ac:dyDescent="0.25">
      <c r="A193" s="3">
        <v>2245</v>
      </c>
      <c r="B193" s="4" t="s">
        <v>45</v>
      </c>
      <c r="C193" s="5">
        <v>45451</v>
      </c>
      <c r="D193" s="3">
        <v>10073</v>
      </c>
      <c r="E193" s="4" t="s">
        <v>13</v>
      </c>
      <c r="F193" s="3">
        <v>35</v>
      </c>
      <c r="G193" s="3" t="s">
        <v>27</v>
      </c>
      <c r="H193" s="3" t="s">
        <v>34</v>
      </c>
      <c r="I193" s="3">
        <v>27</v>
      </c>
      <c r="J193" s="3">
        <v>4.09</v>
      </c>
      <c r="K193" s="3" t="s">
        <v>16</v>
      </c>
      <c r="L193" s="4" t="s">
        <v>17</v>
      </c>
      <c r="M193" s="3">
        <v>8.4</v>
      </c>
      <c r="N193" s="3" t="s">
        <v>23</v>
      </c>
    </row>
    <row r="194" spans="1:14" x14ac:dyDescent="0.25">
      <c r="A194" s="3">
        <v>2246</v>
      </c>
      <c r="B194" s="4" t="s">
        <v>41</v>
      </c>
      <c r="C194" s="5">
        <v>45608</v>
      </c>
      <c r="D194" s="3">
        <v>10285</v>
      </c>
      <c r="E194" s="4" t="s">
        <v>19</v>
      </c>
      <c r="F194" s="3">
        <v>24</v>
      </c>
      <c r="G194" s="3" t="s">
        <v>28</v>
      </c>
      <c r="H194" s="3" t="s">
        <v>33</v>
      </c>
      <c r="I194" s="3">
        <v>50</v>
      </c>
      <c r="J194" s="3">
        <v>9.42</v>
      </c>
      <c r="K194" s="3" t="s">
        <v>16</v>
      </c>
      <c r="L194" s="4" t="s">
        <v>17</v>
      </c>
      <c r="M194" s="3">
        <v>13</v>
      </c>
      <c r="N194" s="3" t="s">
        <v>18</v>
      </c>
    </row>
    <row r="195" spans="1:14" x14ac:dyDescent="0.25">
      <c r="A195" s="3">
        <v>2247</v>
      </c>
      <c r="B195" s="4" t="s">
        <v>43</v>
      </c>
      <c r="C195" s="5">
        <v>45558</v>
      </c>
      <c r="D195" s="3">
        <v>10346</v>
      </c>
      <c r="E195" s="4" t="s">
        <v>13</v>
      </c>
      <c r="F195" s="3">
        <v>44</v>
      </c>
      <c r="G195" s="3" t="s">
        <v>34</v>
      </c>
      <c r="H195" s="3" t="s">
        <v>35</v>
      </c>
      <c r="I195" s="3">
        <v>23</v>
      </c>
      <c r="J195" s="3">
        <v>5.59</v>
      </c>
      <c r="K195" s="3" t="s">
        <v>16</v>
      </c>
      <c r="L195" s="4" t="s">
        <v>17</v>
      </c>
      <c r="M195" s="3">
        <v>7.6</v>
      </c>
      <c r="N195" s="3" t="s">
        <v>30</v>
      </c>
    </row>
    <row r="196" spans="1:14" x14ac:dyDescent="0.25">
      <c r="A196" s="3">
        <v>2248</v>
      </c>
      <c r="B196" s="4" t="s">
        <v>40</v>
      </c>
      <c r="C196" s="5">
        <v>45323</v>
      </c>
      <c r="D196" s="3">
        <v>10044</v>
      </c>
      <c r="E196" s="4" t="s">
        <v>13</v>
      </c>
      <c r="F196" s="3">
        <v>26</v>
      </c>
      <c r="G196" s="3" t="s">
        <v>28</v>
      </c>
      <c r="H196" s="3" t="s">
        <v>14</v>
      </c>
      <c r="I196" s="3">
        <v>17</v>
      </c>
      <c r="J196" s="3">
        <v>3.2</v>
      </c>
      <c r="K196" s="3" t="s">
        <v>16</v>
      </c>
      <c r="L196" s="4" t="s">
        <v>17</v>
      </c>
      <c r="M196" s="3">
        <v>6.4</v>
      </c>
      <c r="N196" s="3" t="s">
        <v>26</v>
      </c>
    </row>
    <row r="197" spans="1:14" x14ac:dyDescent="0.25">
      <c r="A197" s="3">
        <v>2249</v>
      </c>
      <c r="B197" s="4" t="s">
        <v>48</v>
      </c>
      <c r="C197" s="5">
        <v>45310</v>
      </c>
      <c r="D197" s="3">
        <v>10468</v>
      </c>
      <c r="E197" s="4" t="s">
        <v>13</v>
      </c>
      <c r="F197" s="3">
        <v>19</v>
      </c>
      <c r="G197" s="3" t="s">
        <v>20</v>
      </c>
      <c r="H197" s="3" t="s">
        <v>27</v>
      </c>
      <c r="I197" s="3">
        <v>41</v>
      </c>
      <c r="J197" s="3">
        <v>13.22</v>
      </c>
      <c r="K197" s="3" t="s">
        <v>31</v>
      </c>
      <c r="L197" s="4" t="s">
        <v>29</v>
      </c>
      <c r="M197" s="3">
        <v>13.2</v>
      </c>
      <c r="N197" s="3" t="s">
        <v>30</v>
      </c>
    </row>
    <row r="198" spans="1:14" x14ac:dyDescent="0.25">
      <c r="A198" s="3">
        <v>2250</v>
      </c>
      <c r="B198" s="4" t="s">
        <v>38</v>
      </c>
      <c r="C198" s="5">
        <v>45519</v>
      </c>
      <c r="D198" s="3">
        <v>10467</v>
      </c>
      <c r="E198" s="4" t="s">
        <v>13</v>
      </c>
      <c r="F198" s="3">
        <v>45</v>
      </c>
      <c r="G198" s="3" t="s">
        <v>14</v>
      </c>
      <c r="H198" s="3" t="s">
        <v>27</v>
      </c>
      <c r="I198" s="3">
        <v>9</v>
      </c>
      <c r="J198" s="3">
        <v>1.51</v>
      </c>
      <c r="K198" s="3" t="s">
        <v>31</v>
      </c>
      <c r="L198" s="4" t="s">
        <v>22</v>
      </c>
      <c r="M198" s="3">
        <v>6.8</v>
      </c>
      <c r="N198" s="3" t="s">
        <v>23</v>
      </c>
    </row>
    <row r="199" spans="1:14" x14ac:dyDescent="0.25">
      <c r="A199" s="3">
        <v>2253</v>
      </c>
      <c r="B199" s="4" t="s">
        <v>41</v>
      </c>
      <c r="C199" s="5">
        <v>45621</v>
      </c>
      <c r="D199" s="3">
        <v>10362</v>
      </c>
      <c r="E199" s="4" t="s">
        <v>19</v>
      </c>
      <c r="F199" s="3">
        <v>43</v>
      </c>
      <c r="G199" s="3" t="s">
        <v>32</v>
      </c>
      <c r="H199" s="3" t="s">
        <v>33</v>
      </c>
      <c r="I199" s="3">
        <v>47</v>
      </c>
      <c r="J199" s="3">
        <v>6.5</v>
      </c>
      <c r="K199" s="3" t="s">
        <v>16</v>
      </c>
      <c r="L199" s="4" t="s">
        <v>22</v>
      </c>
      <c r="M199" s="3">
        <v>12.4</v>
      </c>
      <c r="N199" s="3" t="s">
        <v>23</v>
      </c>
    </row>
    <row r="200" spans="1:14" x14ac:dyDescent="0.25">
      <c r="A200" s="3">
        <v>2255</v>
      </c>
      <c r="B200" s="4" t="s">
        <v>41</v>
      </c>
      <c r="C200" s="5">
        <v>45612</v>
      </c>
      <c r="D200" s="3">
        <v>10479</v>
      </c>
      <c r="E200" s="4" t="s">
        <v>19</v>
      </c>
      <c r="F200" s="3">
        <v>42</v>
      </c>
      <c r="G200" s="3" t="s">
        <v>14</v>
      </c>
      <c r="H200" s="3" t="s">
        <v>33</v>
      </c>
      <c r="I200" s="3">
        <v>22</v>
      </c>
      <c r="J200" s="3">
        <v>9.39</v>
      </c>
      <c r="K200" s="3" t="s">
        <v>16</v>
      </c>
      <c r="L200" s="4" t="s">
        <v>29</v>
      </c>
      <c r="M200" s="3">
        <v>7.4</v>
      </c>
      <c r="N200" s="3" t="s">
        <v>30</v>
      </c>
    </row>
    <row r="201" spans="1:14" x14ac:dyDescent="0.25">
      <c r="A201" s="3">
        <v>2256</v>
      </c>
      <c r="B201" s="4" t="s">
        <v>47</v>
      </c>
      <c r="C201" s="5">
        <v>45482</v>
      </c>
      <c r="D201" s="3">
        <v>10343</v>
      </c>
      <c r="E201" s="4" t="s">
        <v>19</v>
      </c>
      <c r="F201" s="3">
        <v>37</v>
      </c>
      <c r="G201" s="3" t="s">
        <v>20</v>
      </c>
      <c r="H201" s="3" t="s">
        <v>32</v>
      </c>
      <c r="I201" s="3">
        <v>56</v>
      </c>
      <c r="J201" s="3">
        <v>3.86</v>
      </c>
      <c r="K201" s="3" t="s">
        <v>16</v>
      </c>
      <c r="L201" s="4" t="s">
        <v>29</v>
      </c>
      <c r="M201" s="3">
        <v>14.2</v>
      </c>
      <c r="N201" s="3" t="s">
        <v>26</v>
      </c>
    </row>
    <row r="202" spans="1:14" x14ac:dyDescent="0.25">
      <c r="A202" s="3">
        <v>2260</v>
      </c>
      <c r="B202" s="4" t="s">
        <v>42</v>
      </c>
      <c r="C202" s="5">
        <v>45643</v>
      </c>
      <c r="D202" s="3">
        <v>10397</v>
      </c>
      <c r="E202" s="4" t="s">
        <v>19</v>
      </c>
      <c r="F202" s="3">
        <v>47</v>
      </c>
      <c r="G202" s="3" t="s">
        <v>20</v>
      </c>
      <c r="H202" s="3" t="s">
        <v>28</v>
      </c>
      <c r="I202" s="3">
        <v>45</v>
      </c>
      <c r="J202" s="3">
        <v>6.53</v>
      </c>
      <c r="K202" s="3" t="s">
        <v>31</v>
      </c>
      <c r="L202" s="4" t="s">
        <v>29</v>
      </c>
      <c r="M202" s="3">
        <v>14</v>
      </c>
      <c r="N202" s="3" t="s">
        <v>30</v>
      </c>
    </row>
    <row r="203" spans="1:14" x14ac:dyDescent="0.25">
      <c r="A203" s="3">
        <v>2263</v>
      </c>
      <c r="B203" s="4" t="s">
        <v>39</v>
      </c>
      <c r="C203" s="5">
        <v>45427</v>
      </c>
      <c r="D203" s="3">
        <v>10157</v>
      </c>
      <c r="E203" s="4" t="s">
        <v>13</v>
      </c>
      <c r="F203" s="3">
        <v>47</v>
      </c>
      <c r="G203" s="3" t="s">
        <v>33</v>
      </c>
      <c r="H203" s="3" t="s">
        <v>14</v>
      </c>
      <c r="I203" s="3">
        <v>14</v>
      </c>
      <c r="J203" s="3">
        <v>5.13</v>
      </c>
      <c r="K203" s="3" t="s">
        <v>16</v>
      </c>
      <c r="L203" s="4" t="s">
        <v>22</v>
      </c>
      <c r="M203" s="3">
        <v>5.8</v>
      </c>
      <c r="N203" s="3" t="s">
        <v>18</v>
      </c>
    </row>
    <row r="204" spans="1:14" x14ac:dyDescent="0.25">
      <c r="A204" s="3">
        <v>2264</v>
      </c>
      <c r="B204" s="4" t="s">
        <v>48</v>
      </c>
      <c r="C204" s="5">
        <v>45316</v>
      </c>
      <c r="D204" s="3">
        <v>10161</v>
      </c>
      <c r="E204" s="4" t="s">
        <v>13</v>
      </c>
      <c r="F204" s="3">
        <v>19</v>
      </c>
      <c r="G204" s="3" t="s">
        <v>34</v>
      </c>
      <c r="H204" s="3" t="s">
        <v>28</v>
      </c>
      <c r="I204" s="3">
        <v>56</v>
      </c>
      <c r="J204" s="3">
        <v>9.76</v>
      </c>
      <c r="K204" s="3" t="s">
        <v>16</v>
      </c>
      <c r="L204" s="4" t="s">
        <v>22</v>
      </c>
      <c r="M204" s="3">
        <v>14.2</v>
      </c>
      <c r="N204" s="3" t="s">
        <v>26</v>
      </c>
    </row>
    <row r="205" spans="1:14" x14ac:dyDescent="0.25">
      <c r="A205" s="3">
        <v>2266</v>
      </c>
      <c r="B205" s="4" t="s">
        <v>38</v>
      </c>
      <c r="C205" s="5">
        <v>45524</v>
      </c>
      <c r="D205" s="3">
        <v>10498</v>
      </c>
      <c r="E205" s="4" t="s">
        <v>19</v>
      </c>
      <c r="F205" s="3">
        <v>30</v>
      </c>
      <c r="G205" s="3" t="s">
        <v>34</v>
      </c>
      <c r="H205" s="3" t="s">
        <v>20</v>
      </c>
      <c r="I205" s="3">
        <v>12</v>
      </c>
      <c r="J205" s="3">
        <v>13.41</v>
      </c>
      <c r="K205" s="3" t="s">
        <v>31</v>
      </c>
      <c r="L205" s="4" t="s">
        <v>17</v>
      </c>
      <c r="M205" s="3">
        <v>7.4</v>
      </c>
      <c r="N205" s="3" t="s">
        <v>18</v>
      </c>
    </row>
    <row r="206" spans="1:14" x14ac:dyDescent="0.25">
      <c r="A206" s="3">
        <v>2275</v>
      </c>
      <c r="B206" s="4" t="s">
        <v>40</v>
      </c>
      <c r="C206" s="5">
        <v>45336</v>
      </c>
      <c r="D206" s="3">
        <v>10125</v>
      </c>
      <c r="E206" s="4" t="s">
        <v>13</v>
      </c>
      <c r="F206" s="3">
        <v>26</v>
      </c>
      <c r="G206" s="3" t="s">
        <v>15</v>
      </c>
      <c r="H206" s="3" t="s">
        <v>28</v>
      </c>
      <c r="I206" s="3">
        <v>46</v>
      </c>
      <c r="J206" s="3">
        <v>2.19</v>
      </c>
      <c r="K206" s="3" t="s">
        <v>31</v>
      </c>
      <c r="L206" s="4" t="s">
        <v>22</v>
      </c>
      <c r="M206" s="3">
        <v>14.2</v>
      </c>
      <c r="N206" s="3" t="s">
        <v>23</v>
      </c>
    </row>
    <row r="207" spans="1:14" x14ac:dyDescent="0.25">
      <c r="A207" s="3">
        <v>2276</v>
      </c>
      <c r="B207" s="4" t="s">
        <v>46</v>
      </c>
      <c r="C207" s="5">
        <v>45377</v>
      </c>
      <c r="D207" s="3">
        <v>10474</v>
      </c>
      <c r="E207" s="4" t="s">
        <v>13</v>
      </c>
      <c r="F207" s="3">
        <v>28</v>
      </c>
      <c r="G207" s="3" t="s">
        <v>35</v>
      </c>
      <c r="H207" s="3" t="s">
        <v>14</v>
      </c>
      <c r="I207" s="3">
        <v>26</v>
      </c>
      <c r="J207" s="3">
        <v>14.04</v>
      </c>
      <c r="K207" s="3" t="s">
        <v>16</v>
      </c>
      <c r="L207" s="4" t="s">
        <v>22</v>
      </c>
      <c r="M207" s="3">
        <v>8.1999999999999993</v>
      </c>
      <c r="N207" s="3" t="s">
        <v>18</v>
      </c>
    </row>
    <row r="208" spans="1:14" x14ac:dyDescent="0.25">
      <c r="A208" s="3">
        <v>2280</v>
      </c>
      <c r="B208" s="4" t="s">
        <v>48</v>
      </c>
      <c r="C208" s="5">
        <v>45301</v>
      </c>
      <c r="D208" s="3">
        <v>10075</v>
      </c>
      <c r="E208" s="4" t="s">
        <v>19</v>
      </c>
      <c r="F208" s="3">
        <v>51</v>
      </c>
      <c r="G208" s="3" t="s">
        <v>15</v>
      </c>
      <c r="H208" s="3" t="s">
        <v>27</v>
      </c>
      <c r="I208" s="3">
        <v>32</v>
      </c>
      <c r="J208" s="3">
        <v>4.8499999999999996</v>
      </c>
      <c r="K208" s="3" t="s">
        <v>16</v>
      </c>
      <c r="L208" s="4" t="s">
        <v>17</v>
      </c>
      <c r="M208" s="3">
        <v>9.4</v>
      </c>
      <c r="N208" s="3" t="s">
        <v>18</v>
      </c>
    </row>
    <row r="209" spans="1:14" x14ac:dyDescent="0.25">
      <c r="A209" s="3">
        <v>2281</v>
      </c>
      <c r="B209" s="4" t="s">
        <v>37</v>
      </c>
      <c r="C209" s="5">
        <v>45398</v>
      </c>
      <c r="D209" s="3">
        <v>10139</v>
      </c>
      <c r="E209" s="4" t="s">
        <v>13</v>
      </c>
      <c r="F209" s="3">
        <v>25</v>
      </c>
      <c r="G209" s="3" t="s">
        <v>27</v>
      </c>
      <c r="H209" s="3" t="s">
        <v>21</v>
      </c>
      <c r="I209" s="3">
        <v>17</v>
      </c>
      <c r="J209" s="3">
        <v>10.53</v>
      </c>
      <c r="K209" s="3" t="s">
        <v>31</v>
      </c>
      <c r="L209" s="4" t="s">
        <v>17</v>
      </c>
      <c r="M209" s="3">
        <v>8.4</v>
      </c>
      <c r="N209" s="3" t="s">
        <v>30</v>
      </c>
    </row>
    <row r="210" spans="1:14" x14ac:dyDescent="0.25">
      <c r="A210" s="3">
        <v>2283</v>
      </c>
      <c r="B210" s="4" t="s">
        <v>46</v>
      </c>
      <c r="C210" s="5">
        <v>45360</v>
      </c>
      <c r="D210" s="3">
        <v>10170</v>
      </c>
      <c r="E210" s="4" t="s">
        <v>13</v>
      </c>
      <c r="F210" s="3">
        <v>55</v>
      </c>
      <c r="G210" s="3" t="s">
        <v>25</v>
      </c>
      <c r="H210" s="3" t="s">
        <v>28</v>
      </c>
      <c r="I210" s="3">
        <v>16</v>
      </c>
      <c r="J210" s="3">
        <v>6.11</v>
      </c>
      <c r="K210" s="3" t="s">
        <v>31</v>
      </c>
      <c r="L210" s="4" t="s">
        <v>29</v>
      </c>
      <c r="M210" s="3">
        <v>8.1999999999999993</v>
      </c>
      <c r="N210" s="3" t="s">
        <v>18</v>
      </c>
    </row>
    <row r="211" spans="1:14" x14ac:dyDescent="0.25">
      <c r="A211" s="3">
        <v>2287</v>
      </c>
      <c r="B211" s="4" t="s">
        <v>48</v>
      </c>
      <c r="C211" s="5">
        <v>45321</v>
      </c>
      <c r="D211" s="3">
        <v>10405</v>
      </c>
      <c r="E211" s="4" t="s">
        <v>19</v>
      </c>
      <c r="F211" s="3">
        <v>52</v>
      </c>
      <c r="G211" s="3" t="s">
        <v>24</v>
      </c>
      <c r="H211" s="3" t="s">
        <v>35</v>
      </c>
      <c r="I211" s="3">
        <v>12</v>
      </c>
      <c r="J211" s="3">
        <v>12.33</v>
      </c>
      <c r="K211" s="3" t="s">
        <v>16</v>
      </c>
      <c r="L211" s="4" t="s">
        <v>17</v>
      </c>
      <c r="M211" s="3">
        <v>5.4</v>
      </c>
      <c r="N211" s="3" t="s">
        <v>18</v>
      </c>
    </row>
    <row r="212" spans="1:14" x14ac:dyDescent="0.25">
      <c r="A212" s="3">
        <v>2288</v>
      </c>
      <c r="B212" s="4" t="s">
        <v>47</v>
      </c>
      <c r="C212" s="5">
        <v>45496</v>
      </c>
      <c r="D212" s="3">
        <v>10369</v>
      </c>
      <c r="E212" s="4" t="s">
        <v>13</v>
      </c>
      <c r="F212" s="3">
        <v>35</v>
      </c>
      <c r="G212" s="3" t="s">
        <v>15</v>
      </c>
      <c r="H212" s="3" t="s">
        <v>20</v>
      </c>
      <c r="I212" s="3">
        <v>6</v>
      </c>
      <c r="J212" s="3">
        <v>6.91</v>
      </c>
      <c r="K212" s="3" t="s">
        <v>31</v>
      </c>
      <c r="L212" s="4" t="s">
        <v>22</v>
      </c>
      <c r="M212" s="3">
        <v>6.2</v>
      </c>
      <c r="N212" s="3" t="s">
        <v>23</v>
      </c>
    </row>
    <row r="213" spans="1:14" x14ac:dyDescent="0.25">
      <c r="A213" s="3">
        <v>2290</v>
      </c>
      <c r="B213" s="4" t="s">
        <v>39</v>
      </c>
      <c r="C213" s="5">
        <v>45428</v>
      </c>
      <c r="D213" s="3">
        <v>10051</v>
      </c>
      <c r="E213" s="4" t="s">
        <v>19</v>
      </c>
      <c r="F213" s="3">
        <v>54</v>
      </c>
      <c r="G213" s="3" t="s">
        <v>24</v>
      </c>
      <c r="H213" s="3" t="s">
        <v>32</v>
      </c>
      <c r="I213" s="3">
        <v>29</v>
      </c>
      <c r="J213" s="3">
        <v>1.22</v>
      </c>
      <c r="K213" s="3" t="s">
        <v>31</v>
      </c>
      <c r="L213" s="4" t="s">
        <v>29</v>
      </c>
      <c r="M213" s="3">
        <v>10.8</v>
      </c>
      <c r="N213" s="3" t="s">
        <v>18</v>
      </c>
    </row>
    <row r="214" spans="1:14" x14ac:dyDescent="0.25">
      <c r="A214" s="3">
        <v>2291</v>
      </c>
      <c r="B214" s="4" t="s">
        <v>46</v>
      </c>
      <c r="C214" s="5">
        <v>45378</v>
      </c>
      <c r="D214" s="3">
        <v>10349</v>
      </c>
      <c r="E214" s="4" t="s">
        <v>13</v>
      </c>
      <c r="F214" s="3">
        <v>35</v>
      </c>
      <c r="G214" s="3" t="s">
        <v>25</v>
      </c>
      <c r="H214" s="3" t="s">
        <v>28</v>
      </c>
      <c r="I214" s="3">
        <v>36</v>
      </c>
      <c r="J214" s="3">
        <v>10.119999999999999</v>
      </c>
      <c r="K214" s="3" t="s">
        <v>31</v>
      </c>
      <c r="L214" s="4" t="s">
        <v>29</v>
      </c>
      <c r="M214" s="3">
        <v>12.2</v>
      </c>
      <c r="N214" s="3" t="s">
        <v>26</v>
      </c>
    </row>
    <row r="215" spans="1:14" x14ac:dyDescent="0.25">
      <c r="A215" s="3">
        <v>2292</v>
      </c>
      <c r="B215" s="4" t="s">
        <v>41</v>
      </c>
      <c r="C215" s="5">
        <v>45620</v>
      </c>
      <c r="D215" s="3">
        <v>10056</v>
      </c>
      <c r="E215" s="4" t="s">
        <v>13</v>
      </c>
      <c r="F215" s="3">
        <v>23</v>
      </c>
      <c r="G215" s="3" t="s">
        <v>25</v>
      </c>
      <c r="H215" s="3" t="s">
        <v>25</v>
      </c>
      <c r="I215" s="3">
        <v>29</v>
      </c>
      <c r="J215" s="3">
        <v>12.38</v>
      </c>
      <c r="K215" s="3" t="s">
        <v>16</v>
      </c>
      <c r="L215" s="4" t="s">
        <v>17</v>
      </c>
      <c r="M215" s="3">
        <v>8.8000000000000007</v>
      </c>
      <c r="N215" s="3" t="s">
        <v>26</v>
      </c>
    </row>
    <row r="216" spans="1:14" x14ac:dyDescent="0.25">
      <c r="A216" s="3">
        <v>2294</v>
      </c>
      <c r="B216" s="4" t="s">
        <v>37</v>
      </c>
      <c r="C216" s="5">
        <v>45406</v>
      </c>
      <c r="D216" s="3">
        <v>10210</v>
      </c>
      <c r="E216" s="4" t="s">
        <v>13</v>
      </c>
      <c r="F216" s="3">
        <v>25</v>
      </c>
      <c r="G216" s="3" t="s">
        <v>28</v>
      </c>
      <c r="H216" s="3" t="s">
        <v>33</v>
      </c>
      <c r="I216" s="3">
        <v>27</v>
      </c>
      <c r="J216" s="3">
        <v>6.83</v>
      </c>
      <c r="K216" s="3" t="s">
        <v>16</v>
      </c>
      <c r="L216" s="4" t="s">
        <v>17</v>
      </c>
      <c r="M216" s="3">
        <v>8.4</v>
      </c>
      <c r="N216" s="3" t="s">
        <v>30</v>
      </c>
    </row>
    <row r="217" spans="1:14" x14ac:dyDescent="0.25">
      <c r="A217" s="3">
        <v>2295</v>
      </c>
      <c r="B217" s="4" t="s">
        <v>42</v>
      </c>
      <c r="C217" s="5">
        <v>45650</v>
      </c>
      <c r="D217" s="3">
        <v>10424</v>
      </c>
      <c r="E217" s="4" t="s">
        <v>19</v>
      </c>
      <c r="F217" s="3">
        <v>31</v>
      </c>
      <c r="G217" s="3" t="s">
        <v>14</v>
      </c>
      <c r="H217" s="3" t="s">
        <v>32</v>
      </c>
      <c r="I217" s="3">
        <v>47</v>
      </c>
      <c r="J217" s="3">
        <v>2.48</v>
      </c>
      <c r="K217" s="3" t="s">
        <v>31</v>
      </c>
      <c r="L217" s="4" t="s">
        <v>17</v>
      </c>
      <c r="M217" s="3">
        <v>14.4</v>
      </c>
      <c r="N217" s="3" t="s">
        <v>26</v>
      </c>
    </row>
    <row r="218" spans="1:14" x14ac:dyDescent="0.25">
      <c r="A218" s="3">
        <v>2296</v>
      </c>
      <c r="B218" s="4" t="s">
        <v>41</v>
      </c>
      <c r="C218" s="5">
        <v>45604</v>
      </c>
      <c r="D218" s="3">
        <v>10365</v>
      </c>
      <c r="E218" s="4" t="s">
        <v>13</v>
      </c>
      <c r="F218" s="3">
        <v>42</v>
      </c>
      <c r="G218" s="3" t="s">
        <v>20</v>
      </c>
      <c r="H218" s="3" t="s">
        <v>14</v>
      </c>
      <c r="I218" s="3">
        <v>47</v>
      </c>
      <c r="J218" s="3">
        <v>7.92</v>
      </c>
      <c r="K218" s="3" t="s">
        <v>16</v>
      </c>
      <c r="L218" s="4" t="s">
        <v>22</v>
      </c>
      <c r="M218" s="3">
        <v>12.4</v>
      </c>
      <c r="N218" s="3" t="s">
        <v>26</v>
      </c>
    </row>
    <row r="219" spans="1:14" x14ac:dyDescent="0.25">
      <c r="A219" s="3">
        <v>2297</v>
      </c>
      <c r="B219" s="4" t="s">
        <v>45</v>
      </c>
      <c r="C219" s="5">
        <v>45469</v>
      </c>
      <c r="D219" s="3">
        <v>10302</v>
      </c>
      <c r="E219" s="4" t="s">
        <v>13</v>
      </c>
      <c r="F219" s="3">
        <v>29</v>
      </c>
      <c r="G219" s="3" t="s">
        <v>33</v>
      </c>
      <c r="H219" s="3" t="s">
        <v>15</v>
      </c>
      <c r="I219" s="3">
        <v>30</v>
      </c>
      <c r="J219" s="3">
        <v>1.28</v>
      </c>
      <c r="K219" s="3" t="s">
        <v>16</v>
      </c>
      <c r="L219" s="4" t="s">
        <v>29</v>
      </c>
      <c r="M219" s="3">
        <v>9</v>
      </c>
      <c r="N219" s="3" t="s">
        <v>26</v>
      </c>
    </row>
    <row r="220" spans="1:14" x14ac:dyDescent="0.25">
      <c r="A220" s="3">
        <v>2298</v>
      </c>
      <c r="B220" s="4" t="s">
        <v>47</v>
      </c>
      <c r="C220" s="5">
        <v>45478</v>
      </c>
      <c r="D220" s="3">
        <v>10091</v>
      </c>
      <c r="E220" s="4" t="s">
        <v>13</v>
      </c>
      <c r="F220" s="3">
        <v>45</v>
      </c>
      <c r="G220" s="3" t="s">
        <v>28</v>
      </c>
      <c r="H220" s="3" t="s">
        <v>24</v>
      </c>
      <c r="I220" s="3">
        <v>15</v>
      </c>
      <c r="J220" s="3">
        <v>14.59</v>
      </c>
      <c r="K220" s="3" t="s">
        <v>16</v>
      </c>
      <c r="L220" s="4" t="s">
        <v>29</v>
      </c>
      <c r="M220" s="3">
        <v>6</v>
      </c>
      <c r="N220" s="3" t="s">
        <v>26</v>
      </c>
    </row>
    <row r="221" spans="1:14" x14ac:dyDescent="0.25">
      <c r="A221" s="3">
        <v>2301</v>
      </c>
      <c r="B221" s="4" t="s">
        <v>40</v>
      </c>
      <c r="C221" s="5">
        <v>45340</v>
      </c>
      <c r="D221" s="3">
        <v>10180</v>
      </c>
      <c r="E221" s="4" t="s">
        <v>13</v>
      </c>
      <c r="F221" s="3">
        <v>44</v>
      </c>
      <c r="G221" s="3" t="s">
        <v>34</v>
      </c>
      <c r="H221" s="3" t="s">
        <v>35</v>
      </c>
      <c r="I221" s="3">
        <v>15</v>
      </c>
      <c r="J221" s="3">
        <v>6.22</v>
      </c>
      <c r="K221" s="3" t="s">
        <v>16</v>
      </c>
      <c r="L221" s="4" t="s">
        <v>22</v>
      </c>
      <c r="M221" s="3">
        <v>6</v>
      </c>
      <c r="N221" s="3" t="s">
        <v>26</v>
      </c>
    </row>
    <row r="222" spans="1:14" x14ac:dyDescent="0.25">
      <c r="A222" s="3">
        <v>2302</v>
      </c>
      <c r="B222" s="4" t="s">
        <v>45</v>
      </c>
      <c r="C222" s="5">
        <v>45454</v>
      </c>
      <c r="D222" s="3">
        <v>10153</v>
      </c>
      <c r="E222" s="4" t="s">
        <v>19</v>
      </c>
      <c r="F222" s="3">
        <v>24</v>
      </c>
      <c r="G222" s="3" t="s">
        <v>14</v>
      </c>
      <c r="H222" s="3" t="s">
        <v>35</v>
      </c>
      <c r="I222" s="3">
        <v>22</v>
      </c>
      <c r="J222" s="3">
        <v>8.81</v>
      </c>
      <c r="K222" s="3" t="s">
        <v>16</v>
      </c>
      <c r="L222" s="4" t="s">
        <v>17</v>
      </c>
      <c r="M222" s="3">
        <v>7.4</v>
      </c>
      <c r="N222" s="3" t="s">
        <v>18</v>
      </c>
    </row>
    <row r="223" spans="1:14" x14ac:dyDescent="0.25">
      <c r="A223" s="3">
        <v>2303</v>
      </c>
      <c r="B223" s="4" t="s">
        <v>47</v>
      </c>
      <c r="C223" s="5">
        <v>45498</v>
      </c>
      <c r="D223" s="3">
        <v>10028</v>
      </c>
      <c r="E223" s="4" t="s">
        <v>13</v>
      </c>
      <c r="F223" s="3">
        <v>43</v>
      </c>
      <c r="G223" s="3" t="s">
        <v>14</v>
      </c>
      <c r="H223" s="3" t="s">
        <v>21</v>
      </c>
      <c r="I223" s="3">
        <v>55</v>
      </c>
      <c r="J223" s="3">
        <v>6.74</v>
      </c>
      <c r="K223" s="3" t="s">
        <v>16</v>
      </c>
      <c r="L223" s="4" t="s">
        <v>29</v>
      </c>
      <c r="M223" s="3">
        <v>14</v>
      </c>
      <c r="N223" s="3" t="s">
        <v>18</v>
      </c>
    </row>
    <row r="224" spans="1:14" x14ac:dyDescent="0.25">
      <c r="A224" s="3">
        <v>2304</v>
      </c>
      <c r="B224" s="4" t="s">
        <v>47</v>
      </c>
      <c r="C224" s="5">
        <v>45503</v>
      </c>
      <c r="D224" s="3">
        <v>10445</v>
      </c>
      <c r="E224" s="4" t="s">
        <v>13</v>
      </c>
      <c r="F224" s="3">
        <v>41</v>
      </c>
      <c r="G224" s="3" t="s">
        <v>34</v>
      </c>
      <c r="H224" s="3" t="s">
        <v>34</v>
      </c>
      <c r="I224" s="3">
        <v>51</v>
      </c>
      <c r="J224" s="3">
        <v>2.57</v>
      </c>
      <c r="K224" s="3" t="s">
        <v>16</v>
      </c>
      <c r="L224" s="4" t="s">
        <v>22</v>
      </c>
      <c r="M224" s="3">
        <v>13.2</v>
      </c>
      <c r="N224" s="3" t="s">
        <v>23</v>
      </c>
    </row>
    <row r="225" spans="1:14" x14ac:dyDescent="0.25">
      <c r="A225" s="3">
        <v>2305</v>
      </c>
      <c r="B225" s="4" t="s">
        <v>48</v>
      </c>
      <c r="C225" s="5">
        <v>45322</v>
      </c>
      <c r="D225" s="3">
        <v>10278</v>
      </c>
      <c r="E225" s="4" t="s">
        <v>13</v>
      </c>
      <c r="F225" s="3">
        <v>39</v>
      </c>
      <c r="G225" s="3" t="s">
        <v>32</v>
      </c>
      <c r="H225" s="3" t="s">
        <v>14</v>
      </c>
      <c r="I225" s="3">
        <v>53</v>
      </c>
      <c r="J225" s="3">
        <v>1.1000000000000001</v>
      </c>
      <c r="K225" s="3" t="s">
        <v>31</v>
      </c>
      <c r="L225" s="4" t="s">
        <v>29</v>
      </c>
      <c r="M225" s="3">
        <v>15.6</v>
      </c>
      <c r="N225" s="3" t="s">
        <v>26</v>
      </c>
    </row>
    <row r="226" spans="1:14" x14ac:dyDescent="0.25">
      <c r="A226" s="3">
        <v>2307</v>
      </c>
      <c r="B226" s="4" t="s">
        <v>39</v>
      </c>
      <c r="C226" s="5">
        <v>45418</v>
      </c>
      <c r="D226" s="3">
        <v>10469</v>
      </c>
      <c r="E226" s="4" t="s">
        <v>19</v>
      </c>
      <c r="F226" s="3">
        <v>27</v>
      </c>
      <c r="G226" s="3" t="s">
        <v>27</v>
      </c>
      <c r="H226" s="3" t="s">
        <v>21</v>
      </c>
      <c r="I226" s="3">
        <v>54</v>
      </c>
      <c r="J226" s="3">
        <v>13.79</v>
      </c>
      <c r="K226" s="3" t="s">
        <v>16</v>
      </c>
      <c r="L226" s="4" t="s">
        <v>22</v>
      </c>
      <c r="M226" s="3">
        <v>13.8</v>
      </c>
      <c r="N226" s="3" t="s">
        <v>30</v>
      </c>
    </row>
    <row r="227" spans="1:14" x14ac:dyDescent="0.25">
      <c r="A227" s="3">
        <v>2308</v>
      </c>
      <c r="B227" s="4" t="s">
        <v>40</v>
      </c>
      <c r="C227" s="5">
        <v>45334</v>
      </c>
      <c r="D227" s="3">
        <v>10059</v>
      </c>
      <c r="E227" s="4" t="s">
        <v>19</v>
      </c>
      <c r="F227" s="3">
        <v>42</v>
      </c>
      <c r="G227" s="3" t="s">
        <v>25</v>
      </c>
      <c r="H227" s="3" t="s">
        <v>32</v>
      </c>
      <c r="I227" s="3">
        <v>9</v>
      </c>
      <c r="J227" s="3">
        <v>7.16</v>
      </c>
      <c r="K227" s="3" t="s">
        <v>31</v>
      </c>
      <c r="L227" s="4" t="s">
        <v>17</v>
      </c>
      <c r="M227" s="3">
        <v>6.8</v>
      </c>
      <c r="N227" s="3" t="s">
        <v>30</v>
      </c>
    </row>
    <row r="228" spans="1:14" x14ac:dyDescent="0.25">
      <c r="A228" s="3">
        <v>2309</v>
      </c>
      <c r="B228" s="4" t="s">
        <v>39</v>
      </c>
      <c r="C228" s="5">
        <v>45427</v>
      </c>
      <c r="D228" s="3">
        <v>10272</v>
      </c>
      <c r="E228" s="4" t="s">
        <v>13</v>
      </c>
      <c r="F228" s="3">
        <v>38</v>
      </c>
      <c r="G228" s="3" t="s">
        <v>35</v>
      </c>
      <c r="H228" s="3" t="s">
        <v>21</v>
      </c>
      <c r="I228" s="3">
        <v>24</v>
      </c>
      <c r="J228" s="3">
        <v>3.15</v>
      </c>
      <c r="K228" s="3" t="s">
        <v>31</v>
      </c>
      <c r="L228" s="4" t="s">
        <v>17</v>
      </c>
      <c r="M228" s="3">
        <v>9.8000000000000007</v>
      </c>
      <c r="N228" s="3" t="s">
        <v>30</v>
      </c>
    </row>
    <row r="229" spans="1:14" x14ac:dyDescent="0.25">
      <c r="A229" s="3">
        <v>2311</v>
      </c>
      <c r="B229" s="4" t="s">
        <v>40</v>
      </c>
      <c r="C229" s="5">
        <v>45350</v>
      </c>
      <c r="D229" s="3">
        <v>10058</v>
      </c>
      <c r="E229" s="4" t="s">
        <v>19</v>
      </c>
      <c r="F229" s="3">
        <v>53</v>
      </c>
      <c r="G229" s="3" t="s">
        <v>25</v>
      </c>
      <c r="H229" s="3" t="s">
        <v>24</v>
      </c>
      <c r="I229" s="3">
        <v>41</v>
      </c>
      <c r="J229" s="3">
        <v>14.57</v>
      </c>
      <c r="K229" s="3" t="s">
        <v>16</v>
      </c>
      <c r="L229" s="4" t="s">
        <v>29</v>
      </c>
      <c r="M229" s="3">
        <v>11.2</v>
      </c>
      <c r="N229" s="3" t="s">
        <v>23</v>
      </c>
    </row>
    <row r="230" spans="1:14" x14ac:dyDescent="0.25">
      <c r="A230" s="3">
        <v>2313</v>
      </c>
      <c r="B230" s="4" t="s">
        <v>37</v>
      </c>
      <c r="C230" s="5">
        <v>45393</v>
      </c>
      <c r="D230" s="3">
        <v>10071</v>
      </c>
      <c r="E230" s="4" t="s">
        <v>19</v>
      </c>
      <c r="F230" s="3">
        <v>41</v>
      </c>
      <c r="G230" s="3" t="s">
        <v>14</v>
      </c>
      <c r="H230" s="3" t="s">
        <v>14</v>
      </c>
      <c r="I230" s="3">
        <v>22</v>
      </c>
      <c r="J230" s="3">
        <v>2.21</v>
      </c>
      <c r="K230" s="3" t="s">
        <v>31</v>
      </c>
      <c r="L230" s="4" t="s">
        <v>17</v>
      </c>
      <c r="M230" s="3">
        <v>9.4</v>
      </c>
      <c r="N230" s="3" t="s">
        <v>30</v>
      </c>
    </row>
    <row r="231" spans="1:14" x14ac:dyDescent="0.25">
      <c r="A231" s="3">
        <v>2314</v>
      </c>
      <c r="B231" s="4" t="s">
        <v>40</v>
      </c>
      <c r="C231" s="5">
        <v>45345</v>
      </c>
      <c r="D231" s="3">
        <v>10451</v>
      </c>
      <c r="E231" s="4" t="s">
        <v>19</v>
      </c>
      <c r="F231" s="3">
        <v>46</v>
      </c>
      <c r="G231" s="3" t="s">
        <v>27</v>
      </c>
      <c r="H231" s="3" t="s">
        <v>14</v>
      </c>
      <c r="I231" s="3">
        <v>19</v>
      </c>
      <c r="J231" s="3">
        <v>12.47</v>
      </c>
      <c r="K231" s="3" t="s">
        <v>16</v>
      </c>
      <c r="L231" s="4" t="s">
        <v>17</v>
      </c>
      <c r="M231" s="3">
        <v>6.8</v>
      </c>
      <c r="N231" s="3" t="s">
        <v>30</v>
      </c>
    </row>
    <row r="232" spans="1:14" x14ac:dyDescent="0.25">
      <c r="A232" s="3">
        <v>2315</v>
      </c>
      <c r="B232" s="4" t="s">
        <v>42</v>
      </c>
      <c r="C232" s="5">
        <v>45633</v>
      </c>
      <c r="D232" s="3">
        <v>10484</v>
      </c>
      <c r="E232" s="4" t="s">
        <v>19</v>
      </c>
      <c r="F232" s="3">
        <v>48</v>
      </c>
      <c r="G232" s="3" t="s">
        <v>15</v>
      </c>
      <c r="H232" s="3" t="s">
        <v>21</v>
      </c>
      <c r="I232" s="3">
        <v>58</v>
      </c>
      <c r="J232" s="3">
        <v>1.21</v>
      </c>
      <c r="K232" s="3" t="s">
        <v>16</v>
      </c>
      <c r="L232" s="4" t="s">
        <v>22</v>
      </c>
      <c r="M232" s="3">
        <v>14.6</v>
      </c>
      <c r="N232" s="3" t="s">
        <v>26</v>
      </c>
    </row>
    <row r="233" spans="1:14" x14ac:dyDescent="0.25">
      <c r="A233" s="3">
        <v>2320</v>
      </c>
      <c r="B233" s="4" t="s">
        <v>39</v>
      </c>
      <c r="C233" s="5">
        <v>45420</v>
      </c>
      <c r="D233" s="3">
        <v>10135</v>
      </c>
      <c r="E233" s="4" t="s">
        <v>13</v>
      </c>
      <c r="F233" s="3">
        <v>30</v>
      </c>
      <c r="G233" s="3" t="s">
        <v>20</v>
      </c>
      <c r="H233" s="3" t="s">
        <v>28</v>
      </c>
      <c r="I233" s="3">
        <v>35</v>
      </c>
      <c r="J233" s="3">
        <v>1.59</v>
      </c>
      <c r="K233" s="3" t="s">
        <v>16</v>
      </c>
      <c r="L233" s="4" t="s">
        <v>22</v>
      </c>
      <c r="M233" s="3">
        <v>10</v>
      </c>
      <c r="N233" s="3" t="s">
        <v>23</v>
      </c>
    </row>
    <row r="234" spans="1:14" x14ac:dyDescent="0.25">
      <c r="A234" s="3">
        <v>2323</v>
      </c>
      <c r="B234" s="4" t="s">
        <v>44</v>
      </c>
      <c r="C234" s="5">
        <v>45589</v>
      </c>
      <c r="D234" s="3">
        <v>10345</v>
      </c>
      <c r="E234" s="4" t="s">
        <v>13</v>
      </c>
      <c r="F234" s="3">
        <v>19</v>
      </c>
      <c r="G234" s="3" t="s">
        <v>14</v>
      </c>
      <c r="H234" s="3" t="s">
        <v>21</v>
      </c>
      <c r="I234" s="3">
        <v>42</v>
      </c>
      <c r="J234" s="3">
        <v>2.4500000000000002</v>
      </c>
      <c r="K234" s="3" t="s">
        <v>16</v>
      </c>
      <c r="L234" s="4" t="s">
        <v>17</v>
      </c>
      <c r="M234" s="3">
        <v>11.4</v>
      </c>
      <c r="N234" s="3" t="s">
        <v>30</v>
      </c>
    </row>
    <row r="235" spans="1:14" x14ac:dyDescent="0.25">
      <c r="A235" s="3">
        <v>2325</v>
      </c>
      <c r="B235" s="4" t="s">
        <v>41</v>
      </c>
      <c r="C235" s="5">
        <v>45626</v>
      </c>
      <c r="D235" s="3">
        <v>10437</v>
      </c>
      <c r="E235" s="4" t="s">
        <v>13</v>
      </c>
      <c r="F235" s="3">
        <v>19</v>
      </c>
      <c r="G235" s="3" t="s">
        <v>14</v>
      </c>
      <c r="H235" s="3" t="s">
        <v>34</v>
      </c>
      <c r="I235" s="3">
        <v>6</v>
      </c>
      <c r="J235" s="3">
        <v>3.48</v>
      </c>
      <c r="K235" s="3" t="s">
        <v>31</v>
      </c>
      <c r="L235" s="4" t="s">
        <v>22</v>
      </c>
      <c r="M235" s="3">
        <v>6.2</v>
      </c>
      <c r="N235" s="3" t="s">
        <v>18</v>
      </c>
    </row>
    <row r="236" spans="1:14" x14ac:dyDescent="0.25">
      <c r="A236" s="3">
        <v>2334</v>
      </c>
      <c r="B236" s="4" t="s">
        <v>41</v>
      </c>
      <c r="C236" s="5">
        <v>45610</v>
      </c>
      <c r="D236" s="3">
        <v>10203</v>
      </c>
      <c r="E236" s="4" t="s">
        <v>13</v>
      </c>
      <c r="F236" s="3">
        <v>25</v>
      </c>
      <c r="G236" s="3" t="s">
        <v>21</v>
      </c>
      <c r="H236" s="3" t="s">
        <v>34</v>
      </c>
      <c r="I236" s="3">
        <v>16</v>
      </c>
      <c r="J236" s="3">
        <v>7.01</v>
      </c>
      <c r="K236" s="3" t="s">
        <v>16</v>
      </c>
      <c r="L236" s="4" t="s">
        <v>17</v>
      </c>
      <c r="M236" s="3">
        <v>6.2</v>
      </c>
      <c r="N236" s="3" t="s">
        <v>23</v>
      </c>
    </row>
    <row r="237" spans="1:14" x14ac:dyDescent="0.25">
      <c r="A237" s="3">
        <v>2335</v>
      </c>
      <c r="B237" s="4" t="s">
        <v>43</v>
      </c>
      <c r="C237" s="5">
        <v>45548</v>
      </c>
      <c r="D237" s="3">
        <v>10115</v>
      </c>
      <c r="E237" s="4" t="s">
        <v>13</v>
      </c>
      <c r="F237" s="3">
        <v>28</v>
      </c>
      <c r="G237" s="3" t="s">
        <v>14</v>
      </c>
      <c r="H237" s="3" t="s">
        <v>33</v>
      </c>
      <c r="I237" s="3">
        <v>59</v>
      </c>
      <c r="J237" s="3">
        <v>13.22</v>
      </c>
      <c r="K237" s="3" t="s">
        <v>31</v>
      </c>
      <c r="L237" s="4" t="s">
        <v>29</v>
      </c>
      <c r="M237" s="3">
        <v>16.8</v>
      </c>
      <c r="N237" s="3" t="s">
        <v>18</v>
      </c>
    </row>
    <row r="238" spans="1:14" x14ac:dyDescent="0.25">
      <c r="A238" s="3">
        <v>2337</v>
      </c>
      <c r="B238" s="4" t="s">
        <v>48</v>
      </c>
      <c r="C238" s="5">
        <v>45316</v>
      </c>
      <c r="D238" s="3">
        <v>10264</v>
      </c>
      <c r="E238" s="4" t="s">
        <v>13</v>
      </c>
      <c r="F238" s="3">
        <v>42</v>
      </c>
      <c r="G238" s="3" t="s">
        <v>21</v>
      </c>
      <c r="H238" s="3" t="s">
        <v>20</v>
      </c>
      <c r="I238" s="3">
        <v>19</v>
      </c>
      <c r="J238" s="3">
        <v>14.76</v>
      </c>
      <c r="K238" s="3" t="s">
        <v>31</v>
      </c>
      <c r="L238" s="4" t="s">
        <v>22</v>
      </c>
      <c r="M238" s="3">
        <v>8.8000000000000007</v>
      </c>
      <c r="N238" s="3" t="s">
        <v>26</v>
      </c>
    </row>
    <row r="239" spans="1:14" x14ac:dyDescent="0.25">
      <c r="A239" s="3">
        <v>2338</v>
      </c>
      <c r="B239" s="4" t="s">
        <v>40</v>
      </c>
      <c r="C239" s="5">
        <v>45334</v>
      </c>
      <c r="D239" s="3">
        <v>10383</v>
      </c>
      <c r="E239" s="4" t="s">
        <v>13</v>
      </c>
      <c r="F239" s="3">
        <v>36</v>
      </c>
      <c r="G239" s="3" t="s">
        <v>20</v>
      </c>
      <c r="H239" s="3" t="s">
        <v>27</v>
      </c>
      <c r="I239" s="3">
        <v>5</v>
      </c>
      <c r="J239" s="3">
        <v>10.17</v>
      </c>
      <c r="K239" s="3" t="s">
        <v>16</v>
      </c>
      <c r="L239" s="4" t="s">
        <v>29</v>
      </c>
      <c r="M239" s="3">
        <v>4</v>
      </c>
      <c r="N239" s="3" t="s">
        <v>30</v>
      </c>
    </row>
    <row r="240" spans="1:14" x14ac:dyDescent="0.25">
      <c r="A240" s="3">
        <v>2339</v>
      </c>
      <c r="B240" s="4" t="s">
        <v>44</v>
      </c>
      <c r="C240" s="5">
        <v>45581</v>
      </c>
      <c r="D240" s="3">
        <v>10268</v>
      </c>
      <c r="E240" s="4" t="s">
        <v>19</v>
      </c>
      <c r="F240" s="3">
        <v>45</v>
      </c>
      <c r="G240" s="3" t="s">
        <v>35</v>
      </c>
      <c r="H240" s="3" t="s">
        <v>33</v>
      </c>
      <c r="I240" s="3">
        <v>30</v>
      </c>
      <c r="J240" s="3">
        <v>12.2</v>
      </c>
      <c r="K240" s="3" t="s">
        <v>31</v>
      </c>
      <c r="L240" s="4" t="s">
        <v>17</v>
      </c>
      <c r="M240" s="3">
        <v>11</v>
      </c>
      <c r="N240" s="3" t="s">
        <v>23</v>
      </c>
    </row>
    <row r="241" spans="1:14" x14ac:dyDescent="0.25">
      <c r="A241" s="3">
        <v>2344</v>
      </c>
      <c r="B241" s="4" t="s">
        <v>44</v>
      </c>
      <c r="C241" s="5">
        <v>45596</v>
      </c>
      <c r="D241" s="3">
        <v>10008</v>
      </c>
      <c r="E241" s="4" t="s">
        <v>13</v>
      </c>
      <c r="F241" s="3">
        <v>25</v>
      </c>
      <c r="G241" s="3" t="s">
        <v>32</v>
      </c>
      <c r="H241" s="3" t="s">
        <v>27</v>
      </c>
      <c r="I241" s="3">
        <v>42</v>
      </c>
      <c r="J241" s="3">
        <v>6.7</v>
      </c>
      <c r="K241" s="3" t="s">
        <v>16</v>
      </c>
      <c r="L241" s="4" t="s">
        <v>29</v>
      </c>
      <c r="M241" s="3">
        <v>11.4</v>
      </c>
      <c r="N241" s="3" t="s">
        <v>30</v>
      </c>
    </row>
    <row r="242" spans="1:14" x14ac:dyDescent="0.25">
      <c r="A242" s="3">
        <v>2347</v>
      </c>
      <c r="B242" s="4" t="s">
        <v>45</v>
      </c>
      <c r="C242" s="5">
        <v>45444</v>
      </c>
      <c r="D242" s="3">
        <v>10070</v>
      </c>
      <c r="E242" s="4" t="s">
        <v>19</v>
      </c>
      <c r="F242" s="3">
        <v>23</v>
      </c>
      <c r="G242" s="3" t="s">
        <v>25</v>
      </c>
      <c r="H242" s="3" t="s">
        <v>21</v>
      </c>
      <c r="I242" s="3">
        <v>31</v>
      </c>
      <c r="J242" s="3">
        <v>12.94</v>
      </c>
      <c r="K242" s="3" t="s">
        <v>31</v>
      </c>
      <c r="L242" s="4" t="s">
        <v>17</v>
      </c>
      <c r="M242" s="3">
        <v>11.2</v>
      </c>
      <c r="N242" s="3" t="s">
        <v>26</v>
      </c>
    </row>
    <row r="243" spans="1:14" x14ac:dyDescent="0.25">
      <c r="A243" s="3">
        <v>2348</v>
      </c>
      <c r="B243" s="4" t="s">
        <v>44</v>
      </c>
      <c r="C243" s="5">
        <v>45579</v>
      </c>
      <c r="D243" s="3">
        <v>10347</v>
      </c>
      <c r="E243" s="4" t="s">
        <v>19</v>
      </c>
      <c r="F243" s="3">
        <v>33</v>
      </c>
      <c r="G243" s="3" t="s">
        <v>15</v>
      </c>
      <c r="H243" s="3" t="s">
        <v>21</v>
      </c>
      <c r="I243" s="3">
        <v>58</v>
      </c>
      <c r="J243" s="3">
        <v>12.89</v>
      </c>
      <c r="K243" s="3" t="s">
        <v>16</v>
      </c>
      <c r="L243" s="4" t="s">
        <v>22</v>
      </c>
      <c r="M243" s="3">
        <v>14.6</v>
      </c>
      <c r="N243" s="3" t="s">
        <v>18</v>
      </c>
    </row>
    <row r="244" spans="1:14" x14ac:dyDescent="0.25">
      <c r="A244" s="3">
        <v>2349</v>
      </c>
      <c r="B244" s="4" t="s">
        <v>38</v>
      </c>
      <c r="C244" s="5">
        <v>45518</v>
      </c>
      <c r="D244" s="3">
        <v>10350</v>
      </c>
      <c r="E244" s="4" t="s">
        <v>13</v>
      </c>
      <c r="F244" s="3">
        <v>33</v>
      </c>
      <c r="G244" s="3" t="s">
        <v>35</v>
      </c>
      <c r="H244" s="3" t="s">
        <v>27</v>
      </c>
      <c r="I244" s="3">
        <v>9</v>
      </c>
      <c r="J244" s="3">
        <v>14.46</v>
      </c>
      <c r="K244" s="3" t="s">
        <v>16</v>
      </c>
      <c r="L244" s="4" t="s">
        <v>29</v>
      </c>
      <c r="M244" s="3">
        <v>4.8</v>
      </c>
      <c r="N244" s="3" t="s">
        <v>26</v>
      </c>
    </row>
    <row r="245" spans="1:14" x14ac:dyDescent="0.25">
      <c r="A245" s="3">
        <v>2350</v>
      </c>
      <c r="B245" s="4" t="s">
        <v>44</v>
      </c>
      <c r="C245" s="5">
        <v>45590</v>
      </c>
      <c r="D245" s="3">
        <v>10461</v>
      </c>
      <c r="E245" s="4" t="s">
        <v>19</v>
      </c>
      <c r="F245" s="3">
        <v>38</v>
      </c>
      <c r="G245" s="3" t="s">
        <v>24</v>
      </c>
      <c r="H245" s="3" t="s">
        <v>32</v>
      </c>
      <c r="I245" s="3">
        <v>10</v>
      </c>
      <c r="J245" s="3">
        <v>3.68</v>
      </c>
      <c r="K245" s="3" t="s">
        <v>16</v>
      </c>
      <c r="L245" s="4" t="s">
        <v>22</v>
      </c>
      <c r="M245" s="3">
        <v>5</v>
      </c>
      <c r="N245" s="3" t="s">
        <v>23</v>
      </c>
    </row>
    <row r="246" spans="1:14" x14ac:dyDescent="0.25">
      <c r="A246" s="3">
        <v>2354</v>
      </c>
      <c r="B246" s="4" t="s">
        <v>40</v>
      </c>
      <c r="C246" s="5">
        <v>45345</v>
      </c>
      <c r="D246" s="3">
        <v>10066</v>
      </c>
      <c r="E246" s="4" t="s">
        <v>19</v>
      </c>
      <c r="F246" s="3">
        <v>43</v>
      </c>
      <c r="G246" s="3" t="s">
        <v>32</v>
      </c>
      <c r="H246" s="3" t="s">
        <v>27</v>
      </c>
      <c r="I246" s="3">
        <v>27</v>
      </c>
      <c r="J246" s="3">
        <v>4.91</v>
      </c>
      <c r="K246" s="3" t="s">
        <v>31</v>
      </c>
      <c r="L246" s="4" t="s">
        <v>17</v>
      </c>
      <c r="M246" s="3">
        <v>10.4</v>
      </c>
      <c r="N246" s="3" t="s">
        <v>30</v>
      </c>
    </row>
    <row r="247" spans="1:14" x14ac:dyDescent="0.25">
      <c r="A247" s="3">
        <v>2356</v>
      </c>
      <c r="B247" s="4" t="s">
        <v>41</v>
      </c>
      <c r="C247" s="5">
        <v>45603</v>
      </c>
      <c r="D247" s="3">
        <v>10141</v>
      </c>
      <c r="E247" s="4" t="s">
        <v>13</v>
      </c>
      <c r="F247" s="3">
        <v>31</v>
      </c>
      <c r="G247" s="3" t="s">
        <v>32</v>
      </c>
      <c r="H247" s="3" t="s">
        <v>25</v>
      </c>
      <c r="I247" s="3">
        <v>53</v>
      </c>
      <c r="J247" s="3">
        <v>4.25</v>
      </c>
      <c r="K247" s="3" t="s">
        <v>16</v>
      </c>
      <c r="L247" s="4" t="s">
        <v>17</v>
      </c>
      <c r="M247" s="3">
        <v>13.6</v>
      </c>
      <c r="N247" s="3" t="s">
        <v>18</v>
      </c>
    </row>
    <row r="248" spans="1:14" x14ac:dyDescent="0.25">
      <c r="A248" s="3">
        <v>2357</v>
      </c>
      <c r="B248" s="4" t="s">
        <v>46</v>
      </c>
      <c r="C248" s="5">
        <v>45371</v>
      </c>
      <c r="D248" s="3">
        <v>10489</v>
      </c>
      <c r="E248" s="4" t="s">
        <v>13</v>
      </c>
      <c r="F248" s="3">
        <v>27</v>
      </c>
      <c r="G248" s="3" t="s">
        <v>27</v>
      </c>
      <c r="H248" s="3" t="s">
        <v>34</v>
      </c>
      <c r="I248" s="3">
        <v>33</v>
      </c>
      <c r="J248" s="3">
        <v>4.3099999999999996</v>
      </c>
      <c r="K248" s="3" t="s">
        <v>16</v>
      </c>
      <c r="L248" s="4" t="s">
        <v>29</v>
      </c>
      <c r="M248" s="3">
        <v>9.6</v>
      </c>
      <c r="N248" s="3" t="s">
        <v>26</v>
      </c>
    </row>
    <row r="249" spans="1:14" x14ac:dyDescent="0.25">
      <c r="A249" s="3">
        <v>2359</v>
      </c>
      <c r="B249" s="4" t="s">
        <v>42</v>
      </c>
      <c r="C249" s="5">
        <v>45657</v>
      </c>
      <c r="D249" s="3">
        <v>10287</v>
      </c>
      <c r="E249" s="4" t="s">
        <v>13</v>
      </c>
      <c r="F249" s="3">
        <v>45</v>
      </c>
      <c r="G249" s="3" t="s">
        <v>34</v>
      </c>
      <c r="H249" s="3" t="s">
        <v>15</v>
      </c>
      <c r="I249" s="3">
        <v>40</v>
      </c>
      <c r="J249" s="3">
        <v>7.81</v>
      </c>
      <c r="K249" s="3" t="s">
        <v>31</v>
      </c>
      <c r="L249" s="4" t="s">
        <v>29</v>
      </c>
      <c r="M249" s="3">
        <v>13</v>
      </c>
      <c r="N249" s="3" t="s">
        <v>26</v>
      </c>
    </row>
    <row r="250" spans="1:14" x14ac:dyDescent="0.25">
      <c r="A250" s="3">
        <v>2360</v>
      </c>
      <c r="B250" s="4" t="s">
        <v>39</v>
      </c>
      <c r="C250" s="5">
        <v>45425</v>
      </c>
      <c r="D250" s="3">
        <v>10432</v>
      </c>
      <c r="E250" s="4" t="s">
        <v>13</v>
      </c>
      <c r="F250" s="3">
        <v>39</v>
      </c>
      <c r="G250" s="3" t="s">
        <v>25</v>
      </c>
      <c r="H250" s="3" t="s">
        <v>35</v>
      </c>
      <c r="I250" s="3">
        <v>50</v>
      </c>
      <c r="J250" s="3">
        <v>11</v>
      </c>
      <c r="K250" s="3" t="s">
        <v>31</v>
      </c>
      <c r="L250" s="4" t="s">
        <v>22</v>
      </c>
      <c r="M250" s="3">
        <v>15</v>
      </c>
      <c r="N250" s="3" t="s">
        <v>23</v>
      </c>
    </row>
    <row r="251" spans="1:14" x14ac:dyDescent="0.25">
      <c r="A251" s="3">
        <v>2361</v>
      </c>
      <c r="B251" s="4" t="s">
        <v>45</v>
      </c>
      <c r="C251" s="5">
        <v>45448</v>
      </c>
      <c r="D251" s="3">
        <v>10184</v>
      </c>
      <c r="E251" s="4" t="s">
        <v>19</v>
      </c>
      <c r="F251" s="3">
        <v>38</v>
      </c>
      <c r="G251" s="3" t="s">
        <v>21</v>
      </c>
      <c r="H251" s="3" t="s">
        <v>33</v>
      </c>
      <c r="I251" s="3">
        <v>41</v>
      </c>
      <c r="J251" s="3">
        <v>7.79</v>
      </c>
      <c r="K251" s="3" t="s">
        <v>16</v>
      </c>
      <c r="L251" s="4" t="s">
        <v>22</v>
      </c>
      <c r="M251" s="3">
        <v>11.2</v>
      </c>
      <c r="N251" s="3" t="s">
        <v>26</v>
      </c>
    </row>
    <row r="252" spans="1:14" x14ac:dyDescent="0.25">
      <c r="A252" s="3">
        <v>2362</v>
      </c>
      <c r="B252" s="4" t="s">
        <v>48</v>
      </c>
      <c r="C252" s="5">
        <v>45298</v>
      </c>
      <c r="D252" s="3">
        <v>10336</v>
      </c>
      <c r="E252" s="4" t="s">
        <v>13</v>
      </c>
      <c r="F252" s="3">
        <v>31</v>
      </c>
      <c r="G252" s="3" t="s">
        <v>27</v>
      </c>
      <c r="H252" s="3" t="s">
        <v>21</v>
      </c>
      <c r="I252" s="3">
        <v>22</v>
      </c>
      <c r="J252" s="3">
        <v>11.83</v>
      </c>
      <c r="K252" s="3" t="s">
        <v>31</v>
      </c>
      <c r="L252" s="4" t="s">
        <v>22</v>
      </c>
      <c r="M252" s="3">
        <v>9.4</v>
      </c>
      <c r="N252" s="3" t="s">
        <v>30</v>
      </c>
    </row>
    <row r="253" spans="1:14" x14ac:dyDescent="0.25">
      <c r="A253" s="3">
        <v>2365</v>
      </c>
      <c r="B253" s="4" t="s">
        <v>43</v>
      </c>
      <c r="C253" s="5">
        <v>45543</v>
      </c>
      <c r="D253" s="3">
        <v>10061</v>
      </c>
      <c r="E253" s="4" t="s">
        <v>13</v>
      </c>
      <c r="F253" s="3">
        <v>27</v>
      </c>
      <c r="G253" s="3" t="s">
        <v>24</v>
      </c>
      <c r="H253" s="3" t="s">
        <v>25</v>
      </c>
      <c r="I253" s="3">
        <v>9</v>
      </c>
      <c r="J253" s="3">
        <v>9.76</v>
      </c>
      <c r="K253" s="3" t="s">
        <v>31</v>
      </c>
      <c r="L253" s="4" t="s">
        <v>22</v>
      </c>
      <c r="M253" s="3">
        <v>6.8</v>
      </c>
      <c r="N253" s="3" t="s">
        <v>18</v>
      </c>
    </row>
    <row r="254" spans="1:14" x14ac:dyDescent="0.25">
      <c r="A254" s="3">
        <v>2367</v>
      </c>
      <c r="B254" s="4" t="s">
        <v>43</v>
      </c>
      <c r="C254" s="5">
        <v>45545</v>
      </c>
      <c r="D254" s="3">
        <v>10456</v>
      </c>
      <c r="E254" s="4" t="s">
        <v>13</v>
      </c>
      <c r="F254" s="3">
        <v>43</v>
      </c>
      <c r="G254" s="3" t="s">
        <v>20</v>
      </c>
      <c r="H254" s="3" t="s">
        <v>27</v>
      </c>
      <c r="I254" s="3">
        <v>37</v>
      </c>
      <c r="J254" s="3">
        <v>11.49</v>
      </c>
      <c r="K254" s="3" t="s">
        <v>16</v>
      </c>
      <c r="L254" s="4" t="s">
        <v>29</v>
      </c>
      <c r="M254" s="3">
        <v>10.4</v>
      </c>
      <c r="N254" s="3" t="s">
        <v>26</v>
      </c>
    </row>
    <row r="255" spans="1:14" x14ac:dyDescent="0.25">
      <c r="A255" s="3">
        <v>2368</v>
      </c>
      <c r="B255" s="4" t="s">
        <v>37</v>
      </c>
      <c r="C255" s="5">
        <v>45395</v>
      </c>
      <c r="D255" s="3">
        <v>10281</v>
      </c>
      <c r="E255" s="4" t="s">
        <v>13</v>
      </c>
      <c r="F255" s="3">
        <v>51</v>
      </c>
      <c r="G255" s="3" t="s">
        <v>20</v>
      </c>
      <c r="H255" s="3" t="s">
        <v>21</v>
      </c>
      <c r="I255" s="3">
        <v>49</v>
      </c>
      <c r="J255" s="3">
        <v>9.08</v>
      </c>
      <c r="K255" s="3" t="s">
        <v>16</v>
      </c>
      <c r="L255" s="4" t="s">
        <v>17</v>
      </c>
      <c r="M255" s="3">
        <v>12.8</v>
      </c>
      <c r="N255" s="3" t="s">
        <v>23</v>
      </c>
    </row>
    <row r="256" spans="1:14" x14ac:dyDescent="0.25">
      <c r="A256" s="3">
        <v>2372</v>
      </c>
      <c r="B256" s="4" t="s">
        <v>41</v>
      </c>
      <c r="C256" s="5">
        <v>45618</v>
      </c>
      <c r="D256" s="3">
        <v>10257</v>
      </c>
      <c r="E256" s="4" t="s">
        <v>13</v>
      </c>
      <c r="F256" s="3">
        <v>47</v>
      </c>
      <c r="G256" s="3" t="s">
        <v>28</v>
      </c>
      <c r="H256" s="3" t="s">
        <v>32</v>
      </c>
      <c r="I256" s="3">
        <v>17</v>
      </c>
      <c r="J256" s="3">
        <v>8.67</v>
      </c>
      <c r="K256" s="3" t="s">
        <v>31</v>
      </c>
      <c r="L256" s="4" t="s">
        <v>17</v>
      </c>
      <c r="M256" s="3">
        <v>8.4</v>
      </c>
      <c r="N256" s="3" t="s">
        <v>23</v>
      </c>
    </row>
    <row r="257" spans="1:14" x14ac:dyDescent="0.25">
      <c r="A257" s="3">
        <v>2376</v>
      </c>
      <c r="B257" s="4" t="s">
        <v>48</v>
      </c>
      <c r="C257" s="5">
        <v>45293</v>
      </c>
      <c r="D257" s="3">
        <v>10069</v>
      </c>
      <c r="E257" s="4" t="s">
        <v>19</v>
      </c>
      <c r="F257" s="3">
        <v>37</v>
      </c>
      <c r="G257" s="3" t="s">
        <v>21</v>
      </c>
      <c r="H257" s="3" t="s">
        <v>34</v>
      </c>
      <c r="I257" s="3">
        <v>28</v>
      </c>
      <c r="J257" s="3">
        <v>13.63</v>
      </c>
      <c r="K257" s="3" t="s">
        <v>31</v>
      </c>
      <c r="L257" s="4" t="s">
        <v>22</v>
      </c>
      <c r="M257" s="3">
        <v>10.6</v>
      </c>
      <c r="N257" s="3" t="s">
        <v>26</v>
      </c>
    </row>
    <row r="258" spans="1:14" x14ac:dyDescent="0.25">
      <c r="A258" s="3">
        <v>2378</v>
      </c>
      <c r="B258" s="4" t="s">
        <v>42</v>
      </c>
      <c r="C258" s="5">
        <v>45641</v>
      </c>
      <c r="D258" s="3">
        <v>10189</v>
      </c>
      <c r="E258" s="4" t="s">
        <v>13</v>
      </c>
      <c r="F258" s="3">
        <v>22</v>
      </c>
      <c r="G258" s="3" t="s">
        <v>21</v>
      </c>
      <c r="H258" s="3" t="s">
        <v>25</v>
      </c>
      <c r="I258" s="3">
        <v>28</v>
      </c>
      <c r="J258" s="3">
        <v>1.44</v>
      </c>
      <c r="K258" s="3" t="s">
        <v>16</v>
      </c>
      <c r="L258" s="4" t="s">
        <v>17</v>
      </c>
      <c r="M258" s="3">
        <v>8.6</v>
      </c>
      <c r="N258" s="3" t="s">
        <v>30</v>
      </c>
    </row>
    <row r="259" spans="1:14" x14ac:dyDescent="0.25">
      <c r="A259" s="3">
        <v>2379</v>
      </c>
      <c r="B259" s="4" t="s">
        <v>47</v>
      </c>
      <c r="C259" s="5">
        <v>45504</v>
      </c>
      <c r="D259" s="3">
        <v>10242</v>
      </c>
      <c r="E259" s="4" t="s">
        <v>13</v>
      </c>
      <c r="F259" s="3">
        <v>53</v>
      </c>
      <c r="G259" s="3" t="s">
        <v>15</v>
      </c>
      <c r="H259" s="3" t="s">
        <v>34</v>
      </c>
      <c r="I259" s="3">
        <v>28</v>
      </c>
      <c r="J259" s="3">
        <v>2.31</v>
      </c>
      <c r="K259" s="3" t="s">
        <v>31</v>
      </c>
      <c r="L259" s="4" t="s">
        <v>22</v>
      </c>
      <c r="M259" s="3">
        <v>10.6</v>
      </c>
      <c r="N259" s="3" t="s">
        <v>23</v>
      </c>
    </row>
    <row r="260" spans="1:14" x14ac:dyDescent="0.25">
      <c r="A260" s="3">
        <v>2380</v>
      </c>
      <c r="B260" s="4" t="s">
        <v>43</v>
      </c>
      <c r="C260" s="5">
        <v>45542</v>
      </c>
      <c r="D260" s="3">
        <v>10255</v>
      </c>
      <c r="E260" s="4" t="s">
        <v>19</v>
      </c>
      <c r="F260" s="3">
        <v>40</v>
      </c>
      <c r="G260" s="3" t="s">
        <v>33</v>
      </c>
      <c r="H260" s="3" t="s">
        <v>33</v>
      </c>
      <c r="I260" s="3">
        <v>50</v>
      </c>
      <c r="J260" s="3">
        <v>14.25</v>
      </c>
      <c r="K260" s="3" t="s">
        <v>16</v>
      </c>
      <c r="L260" s="4" t="s">
        <v>29</v>
      </c>
      <c r="M260" s="3">
        <v>13</v>
      </c>
      <c r="N260" s="3" t="s">
        <v>23</v>
      </c>
    </row>
    <row r="261" spans="1:14" x14ac:dyDescent="0.25">
      <c r="A261" s="3">
        <v>2381</v>
      </c>
      <c r="B261" s="4" t="s">
        <v>47</v>
      </c>
      <c r="C261" s="5">
        <v>45503</v>
      </c>
      <c r="D261" s="3">
        <v>10136</v>
      </c>
      <c r="E261" s="4" t="s">
        <v>19</v>
      </c>
      <c r="F261" s="3">
        <v>34</v>
      </c>
      <c r="G261" s="3" t="s">
        <v>32</v>
      </c>
      <c r="H261" s="3" t="s">
        <v>32</v>
      </c>
      <c r="I261" s="3">
        <v>52</v>
      </c>
      <c r="J261" s="3">
        <v>10.45</v>
      </c>
      <c r="K261" s="3" t="s">
        <v>16</v>
      </c>
      <c r="L261" s="4" t="s">
        <v>29</v>
      </c>
      <c r="M261" s="3">
        <v>13.4</v>
      </c>
      <c r="N261" s="3" t="s">
        <v>23</v>
      </c>
    </row>
    <row r="262" spans="1:14" x14ac:dyDescent="0.25">
      <c r="A262" s="3">
        <v>2392</v>
      </c>
      <c r="B262" s="4" t="s">
        <v>48</v>
      </c>
      <c r="C262" s="5">
        <v>45299</v>
      </c>
      <c r="D262" s="3">
        <v>10204</v>
      </c>
      <c r="E262" s="4" t="s">
        <v>19</v>
      </c>
      <c r="F262" s="3">
        <v>32</v>
      </c>
      <c r="G262" s="3" t="s">
        <v>15</v>
      </c>
      <c r="H262" s="3" t="s">
        <v>20</v>
      </c>
      <c r="I262" s="3">
        <v>24</v>
      </c>
      <c r="J262" s="3">
        <v>6.96</v>
      </c>
      <c r="K262" s="3" t="s">
        <v>31</v>
      </c>
      <c r="L262" s="4" t="s">
        <v>17</v>
      </c>
      <c r="M262" s="3">
        <v>9.8000000000000007</v>
      </c>
      <c r="N262" s="3" t="s">
        <v>30</v>
      </c>
    </row>
    <row r="263" spans="1:14" x14ac:dyDescent="0.25">
      <c r="A263" s="3">
        <v>2393</v>
      </c>
      <c r="B263" s="4" t="s">
        <v>40</v>
      </c>
      <c r="C263" s="5">
        <v>45335</v>
      </c>
      <c r="D263" s="3">
        <v>10105</v>
      </c>
      <c r="E263" s="4" t="s">
        <v>13</v>
      </c>
      <c r="F263" s="3">
        <v>28</v>
      </c>
      <c r="G263" s="3" t="s">
        <v>27</v>
      </c>
      <c r="H263" s="3" t="s">
        <v>32</v>
      </c>
      <c r="I263" s="3">
        <v>28</v>
      </c>
      <c r="J263" s="3">
        <v>12.46</v>
      </c>
      <c r="K263" s="3" t="s">
        <v>31</v>
      </c>
      <c r="L263" s="4" t="s">
        <v>17</v>
      </c>
      <c r="M263" s="3">
        <v>10.6</v>
      </c>
      <c r="N263" s="3" t="s">
        <v>18</v>
      </c>
    </row>
    <row r="264" spans="1:14" x14ac:dyDescent="0.25">
      <c r="A264" s="3">
        <v>2394</v>
      </c>
      <c r="B264" s="4" t="s">
        <v>47</v>
      </c>
      <c r="C264" s="5">
        <v>45490</v>
      </c>
      <c r="D264" s="3">
        <v>10076</v>
      </c>
      <c r="E264" s="4" t="s">
        <v>13</v>
      </c>
      <c r="F264" s="3">
        <v>28</v>
      </c>
      <c r="G264" s="3" t="s">
        <v>28</v>
      </c>
      <c r="H264" s="3" t="s">
        <v>21</v>
      </c>
      <c r="I264" s="3">
        <v>48</v>
      </c>
      <c r="J264" s="3">
        <v>10.99</v>
      </c>
      <c r="K264" s="3" t="s">
        <v>16</v>
      </c>
      <c r="L264" s="4" t="s">
        <v>17</v>
      </c>
      <c r="M264" s="3">
        <v>12.6</v>
      </c>
      <c r="N264" s="3" t="s">
        <v>23</v>
      </c>
    </row>
    <row r="265" spans="1:14" x14ac:dyDescent="0.25">
      <c r="A265" s="3">
        <v>2397</v>
      </c>
      <c r="B265" s="4" t="s">
        <v>43</v>
      </c>
      <c r="C265" s="5">
        <v>45557</v>
      </c>
      <c r="D265" s="3">
        <v>10444</v>
      </c>
      <c r="E265" s="4" t="s">
        <v>19</v>
      </c>
      <c r="F265" s="3">
        <v>53</v>
      </c>
      <c r="G265" s="3" t="s">
        <v>33</v>
      </c>
      <c r="H265" s="3" t="s">
        <v>15</v>
      </c>
      <c r="I265" s="3">
        <v>13</v>
      </c>
      <c r="J265" s="3">
        <v>8.84</v>
      </c>
      <c r="K265" s="3" t="s">
        <v>16</v>
      </c>
      <c r="L265" s="4" t="s">
        <v>22</v>
      </c>
      <c r="M265" s="3">
        <v>5.6</v>
      </c>
      <c r="N265" s="3" t="s">
        <v>26</v>
      </c>
    </row>
    <row r="266" spans="1:14" x14ac:dyDescent="0.25">
      <c r="A266" s="3">
        <v>2399</v>
      </c>
      <c r="B266" s="4" t="s">
        <v>41</v>
      </c>
      <c r="C266" s="5">
        <v>45599</v>
      </c>
      <c r="D266" s="3">
        <v>10144</v>
      </c>
      <c r="E266" s="4" t="s">
        <v>13</v>
      </c>
      <c r="F266" s="3">
        <v>35</v>
      </c>
      <c r="G266" s="3" t="s">
        <v>24</v>
      </c>
      <c r="H266" s="3" t="s">
        <v>25</v>
      </c>
      <c r="I266" s="3">
        <v>56</v>
      </c>
      <c r="J266" s="3">
        <v>2.41</v>
      </c>
      <c r="K266" s="3" t="s">
        <v>31</v>
      </c>
      <c r="L266" s="4" t="s">
        <v>17</v>
      </c>
      <c r="M266" s="3">
        <v>16.2</v>
      </c>
      <c r="N266" s="3" t="s">
        <v>30</v>
      </c>
    </row>
    <row r="267" spans="1:14" x14ac:dyDescent="0.25">
      <c r="A267" s="3">
        <v>2402</v>
      </c>
      <c r="B267" s="4" t="s">
        <v>45</v>
      </c>
      <c r="C267" s="5">
        <v>45469</v>
      </c>
      <c r="D267" s="3">
        <v>10353</v>
      </c>
      <c r="E267" s="4" t="s">
        <v>13</v>
      </c>
      <c r="F267" s="3">
        <v>36</v>
      </c>
      <c r="G267" s="3" t="s">
        <v>32</v>
      </c>
      <c r="H267" s="3" t="s">
        <v>34</v>
      </c>
      <c r="I267" s="3">
        <v>32</v>
      </c>
      <c r="J267" s="3">
        <v>10.8</v>
      </c>
      <c r="K267" s="3" t="s">
        <v>16</v>
      </c>
      <c r="L267" s="4" t="s">
        <v>22</v>
      </c>
      <c r="M267" s="3">
        <v>9.4</v>
      </c>
      <c r="N267" s="3" t="s">
        <v>23</v>
      </c>
    </row>
    <row r="268" spans="1:14" x14ac:dyDescent="0.25">
      <c r="A268" s="3">
        <v>2403</v>
      </c>
      <c r="B268" s="4" t="s">
        <v>43</v>
      </c>
      <c r="C268" s="5">
        <v>45555</v>
      </c>
      <c r="D268" s="3">
        <v>10116</v>
      </c>
      <c r="E268" s="4" t="s">
        <v>13</v>
      </c>
      <c r="F268" s="3">
        <v>32</v>
      </c>
      <c r="G268" s="3" t="s">
        <v>20</v>
      </c>
      <c r="H268" s="3" t="s">
        <v>28</v>
      </c>
      <c r="I268" s="3">
        <v>48</v>
      </c>
      <c r="J268" s="3">
        <v>10.07</v>
      </c>
      <c r="K268" s="3" t="s">
        <v>16</v>
      </c>
      <c r="L268" s="4" t="s">
        <v>17</v>
      </c>
      <c r="M268" s="3">
        <v>12.6</v>
      </c>
      <c r="N268" s="3" t="s">
        <v>23</v>
      </c>
    </row>
    <row r="269" spans="1:14" x14ac:dyDescent="0.25">
      <c r="A269" s="3">
        <v>2404</v>
      </c>
      <c r="B269" s="4" t="s">
        <v>37</v>
      </c>
      <c r="C269" s="5">
        <v>45387</v>
      </c>
      <c r="D269" s="3">
        <v>10081</v>
      </c>
      <c r="E269" s="4" t="s">
        <v>13</v>
      </c>
      <c r="F269" s="3">
        <v>52</v>
      </c>
      <c r="G269" s="3" t="s">
        <v>34</v>
      </c>
      <c r="H269" s="3" t="s">
        <v>33</v>
      </c>
      <c r="I269" s="3">
        <v>38</v>
      </c>
      <c r="J269" s="3">
        <v>3.21</v>
      </c>
      <c r="K269" s="3" t="s">
        <v>16</v>
      </c>
      <c r="L269" s="4" t="s">
        <v>29</v>
      </c>
      <c r="M269" s="3">
        <v>10.6</v>
      </c>
      <c r="N269" s="3" t="s">
        <v>26</v>
      </c>
    </row>
    <row r="270" spans="1:14" x14ac:dyDescent="0.25">
      <c r="A270" s="3">
        <v>2407</v>
      </c>
      <c r="B270" s="4" t="s">
        <v>45</v>
      </c>
      <c r="C270" s="5">
        <v>45466</v>
      </c>
      <c r="D270" s="3">
        <v>10186</v>
      </c>
      <c r="E270" s="4" t="s">
        <v>13</v>
      </c>
      <c r="F270" s="3">
        <v>40</v>
      </c>
      <c r="G270" s="3" t="s">
        <v>33</v>
      </c>
      <c r="H270" s="3" t="s">
        <v>24</v>
      </c>
      <c r="I270" s="3">
        <v>28</v>
      </c>
      <c r="J270" s="3">
        <v>12.21</v>
      </c>
      <c r="K270" s="3" t="s">
        <v>16</v>
      </c>
      <c r="L270" s="4" t="s">
        <v>22</v>
      </c>
      <c r="M270" s="3">
        <v>8.6</v>
      </c>
      <c r="N270" s="3" t="s">
        <v>26</v>
      </c>
    </row>
    <row r="271" spans="1:14" x14ac:dyDescent="0.25">
      <c r="A271" s="3">
        <v>2408</v>
      </c>
      <c r="B271" s="4" t="s">
        <v>46</v>
      </c>
      <c r="C271" s="5">
        <v>45371</v>
      </c>
      <c r="D271" s="3">
        <v>10462</v>
      </c>
      <c r="E271" s="4" t="s">
        <v>13</v>
      </c>
      <c r="F271" s="3">
        <v>30</v>
      </c>
      <c r="G271" s="3" t="s">
        <v>34</v>
      </c>
      <c r="H271" s="3" t="s">
        <v>21</v>
      </c>
      <c r="I271" s="3">
        <v>23</v>
      </c>
      <c r="J271" s="3">
        <v>5.3</v>
      </c>
      <c r="K271" s="3" t="s">
        <v>16</v>
      </c>
      <c r="L271" s="4" t="s">
        <v>22</v>
      </c>
      <c r="M271" s="3">
        <v>7.6</v>
      </c>
      <c r="N271" s="3" t="s">
        <v>30</v>
      </c>
    </row>
    <row r="272" spans="1:14" x14ac:dyDescent="0.25">
      <c r="A272" s="3">
        <v>2409</v>
      </c>
      <c r="B272" s="4" t="s">
        <v>46</v>
      </c>
      <c r="C272" s="5">
        <v>45364</v>
      </c>
      <c r="D272" s="3">
        <v>10113</v>
      </c>
      <c r="E272" s="4" t="s">
        <v>19</v>
      </c>
      <c r="F272" s="3">
        <v>33</v>
      </c>
      <c r="G272" s="3" t="s">
        <v>35</v>
      </c>
      <c r="H272" s="3" t="s">
        <v>14</v>
      </c>
      <c r="I272" s="3">
        <v>10</v>
      </c>
      <c r="J272" s="3">
        <v>9.51</v>
      </c>
      <c r="K272" s="3" t="s">
        <v>31</v>
      </c>
      <c r="L272" s="4" t="s">
        <v>29</v>
      </c>
      <c r="M272" s="3">
        <v>7</v>
      </c>
      <c r="N272" s="3" t="s">
        <v>30</v>
      </c>
    </row>
    <row r="273" spans="1:14" x14ac:dyDescent="0.25">
      <c r="A273" s="3">
        <v>2413</v>
      </c>
      <c r="B273" s="4" t="s">
        <v>45</v>
      </c>
      <c r="C273" s="5">
        <v>45458</v>
      </c>
      <c r="D273" s="3">
        <v>10262</v>
      </c>
      <c r="E273" s="4" t="s">
        <v>19</v>
      </c>
      <c r="F273" s="3">
        <v>20</v>
      </c>
      <c r="G273" s="3" t="s">
        <v>28</v>
      </c>
      <c r="H273" s="3" t="s">
        <v>35</v>
      </c>
      <c r="I273" s="3">
        <v>5</v>
      </c>
      <c r="J273" s="3">
        <v>4.67</v>
      </c>
      <c r="K273" s="3" t="s">
        <v>31</v>
      </c>
      <c r="L273" s="4" t="s">
        <v>29</v>
      </c>
      <c r="M273" s="3">
        <v>6</v>
      </c>
      <c r="N273" s="3" t="s">
        <v>18</v>
      </c>
    </row>
    <row r="274" spans="1:14" x14ac:dyDescent="0.25">
      <c r="A274" s="3">
        <v>2414</v>
      </c>
      <c r="B274" s="4" t="s">
        <v>47</v>
      </c>
      <c r="C274" s="5">
        <v>45486</v>
      </c>
      <c r="D274" s="3">
        <v>10359</v>
      </c>
      <c r="E274" s="4" t="s">
        <v>13</v>
      </c>
      <c r="F274" s="3">
        <v>19</v>
      </c>
      <c r="G274" s="3" t="s">
        <v>21</v>
      </c>
      <c r="H274" s="3" t="s">
        <v>15</v>
      </c>
      <c r="I274" s="3">
        <v>55</v>
      </c>
      <c r="J274" s="3">
        <v>7.87</v>
      </c>
      <c r="K274" s="3" t="s">
        <v>16</v>
      </c>
      <c r="L274" s="4" t="s">
        <v>17</v>
      </c>
      <c r="M274" s="3">
        <v>14</v>
      </c>
      <c r="N274" s="3" t="s">
        <v>30</v>
      </c>
    </row>
    <row r="275" spans="1:14" x14ac:dyDescent="0.25">
      <c r="A275" s="3">
        <v>2415</v>
      </c>
      <c r="B275" s="4" t="s">
        <v>41</v>
      </c>
      <c r="C275" s="5">
        <v>45618</v>
      </c>
      <c r="D275" s="3">
        <v>10095</v>
      </c>
      <c r="E275" s="4" t="s">
        <v>13</v>
      </c>
      <c r="F275" s="3">
        <v>26</v>
      </c>
      <c r="G275" s="3" t="s">
        <v>25</v>
      </c>
      <c r="H275" s="3" t="s">
        <v>35</v>
      </c>
      <c r="I275" s="3">
        <v>21</v>
      </c>
      <c r="J275" s="3">
        <v>7.3</v>
      </c>
      <c r="K275" s="3" t="s">
        <v>16</v>
      </c>
      <c r="L275" s="4" t="s">
        <v>22</v>
      </c>
      <c r="M275" s="3">
        <v>7.2</v>
      </c>
      <c r="N275" s="3" t="s">
        <v>23</v>
      </c>
    </row>
    <row r="276" spans="1:14" x14ac:dyDescent="0.25">
      <c r="A276" s="3">
        <v>2419</v>
      </c>
      <c r="B276" s="4" t="s">
        <v>48</v>
      </c>
      <c r="C276" s="5">
        <v>45308</v>
      </c>
      <c r="D276" s="3">
        <v>10293</v>
      </c>
      <c r="E276" s="4" t="s">
        <v>19</v>
      </c>
      <c r="F276" s="3">
        <v>47</v>
      </c>
      <c r="G276" s="3" t="s">
        <v>33</v>
      </c>
      <c r="H276" s="3" t="s">
        <v>34</v>
      </c>
      <c r="I276" s="3">
        <v>56</v>
      </c>
      <c r="J276" s="3">
        <v>10.65</v>
      </c>
      <c r="K276" s="3" t="s">
        <v>16</v>
      </c>
      <c r="L276" s="4" t="s">
        <v>17</v>
      </c>
      <c r="M276" s="3">
        <v>14.2</v>
      </c>
      <c r="N276" s="3" t="s">
        <v>18</v>
      </c>
    </row>
    <row r="277" spans="1:14" x14ac:dyDescent="0.25">
      <c r="A277" s="3">
        <v>2423</v>
      </c>
      <c r="B277" s="4" t="s">
        <v>37</v>
      </c>
      <c r="C277" s="5">
        <v>45399</v>
      </c>
      <c r="D277" s="3">
        <v>10079</v>
      </c>
      <c r="E277" s="4" t="s">
        <v>13</v>
      </c>
      <c r="F277" s="3">
        <v>21</v>
      </c>
      <c r="G277" s="3" t="s">
        <v>33</v>
      </c>
      <c r="H277" s="3" t="s">
        <v>34</v>
      </c>
      <c r="I277" s="3">
        <v>26</v>
      </c>
      <c r="J277" s="3">
        <v>1.76</v>
      </c>
      <c r="K277" s="3" t="s">
        <v>16</v>
      </c>
      <c r="L277" s="4" t="s">
        <v>22</v>
      </c>
      <c r="M277" s="3">
        <v>8.1999999999999993</v>
      </c>
      <c r="N277" s="3" t="s">
        <v>26</v>
      </c>
    </row>
    <row r="278" spans="1:14" x14ac:dyDescent="0.25">
      <c r="A278" s="3">
        <v>2427</v>
      </c>
      <c r="B278" s="4" t="s">
        <v>48</v>
      </c>
      <c r="C278" s="5">
        <v>45321</v>
      </c>
      <c r="D278" s="3">
        <v>10129</v>
      </c>
      <c r="E278" s="4" t="s">
        <v>13</v>
      </c>
      <c r="F278" s="3">
        <v>25</v>
      </c>
      <c r="G278" s="3" t="s">
        <v>32</v>
      </c>
      <c r="H278" s="3" t="s">
        <v>24</v>
      </c>
      <c r="I278" s="3">
        <v>40</v>
      </c>
      <c r="J278" s="3">
        <v>10.59</v>
      </c>
      <c r="K278" s="3" t="s">
        <v>31</v>
      </c>
      <c r="L278" s="4" t="s">
        <v>17</v>
      </c>
      <c r="M278" s="3">
        <v>13</v>
      </c>
      <c r="N278" s="3" t="s">
        <v>26</v>
      </c>
    </row>
    <row r="279" spans="1:14" x14ac:dyDescent="0.25">
      <c r="A279" s="3">
        <v>2428</v>
      </c>
      <c r="B279" s="4" t="s">
        <v>37</v>
      </c>
      <c r="C279" s="5">
        <v>45390</v>
      </c>
      <c r="D279" s="3">
        <v>10101</v>
      </c>
      <c r="E279" s="4" t="s">
        <v>13</v>
      </c>
      <c r="F279" s="3">
        <v>22</v>
      </c>
      <c r="G279" s="3" t="s">
        <v>35</v>
      </c>
      <c r="H279" s="3" t="s">
        <v>20</v>
      </c>
      <c r="I279" s="3">
        <v>55</v>
      </c>
      <c r="J279" s="3">
        <v>6.98</v>
      </c>
      <c r="K279" s="3" t="s">
        <v>31</v>
      </c>
      <c r="L279" s="4" t="s">
        <v>29</v>
      </c>
      <c r="M279" s="3">
        <v>16</v>
      </c>
      <c r="N279" s="3" t="s">
        <v>30</v>
      </c>
    </row>
    <row r="280" spans="1:14" x14ac:dyDescent="0.25">
      <c r="A280" s="3">
        <v>2429</v>
      </c>
      <c r="B280" s="4" t="s">
        <v>45</v>
      </c>
      <c r="C280" s="5">
        <v>45447</v>
      </c>
      <c r="D280" s="3">
        <v>10188</v>
      </c>
      <c r="E280" s="4" t="s">
        <v>13</v>
      </c>
      <c r="F280" s="3">
        <v>53</v>
      </c>
      <c r="G280" s="3" t="s">
        <v>28</v>
      </c>
      <c r="H280" s="3" t="s">
        <v>20</v>
      </c>
      <c r="I280" s="3">
        <v>34</v>
      </c>
      <c r="J280" s="3">
        <v>4.67</v>
      </c>
      <c r="K280" s="3" t="s">
        <v>31</v>
      </c>
      <c r="L280" s="4" t="s">
        <v>22</v>
      </c>
      <c r="M280" s="3">
        <v>11.8</v>
      </c>
      <c r="N280" s="3" t="s">
        <v>18</v>
      </c>
    </row>
    <row r="281" spans="1:14" x14ac:dyDescent="0.25">
      <c r="A281" s="3">
        <v>2430</v>
      </c>
      <c r="B281" s="4" t="s">
        <v>41</v>
      </c>
      <c r="C281" s="5">
        <v>45602</v>
      </c>
      <c r="D281" s="3">
        <v>10067</v>
      </c>
      <c r="E281" s="4" t="s">
        <v>19</v>
      </c>
      <c r="F281" s="3">
        <v>55</v>
      </c>
      <c r="G281" s="3" t="s">
        <v>28</v>
      </c>
      <c r="H281" s="3" t="s">
        <v>34</v>
      </c>
      <c r="I281" s="3">
        <v>45</v>
      </c>
      <c r="J281" s="3">
        <v>7.72</v>
      </c>
      <c r="K281" s="3" t="s">
        <v>16</v>
      </c>
      <c r="L281" s="4" t="s">
        <v>22</v>
      </c>
      <c r="M281" s="3">
        <v>12</v>
      </c>
      <c r="N281" s="3" t="s">
        <v>23</v>
      </c>
    </row>
    <row r="282" spans="1:14" x14ac:dyDescent="0.25">
      <c r="A282" s="3">
        <v>2434</v>
      </c>
      <c r="B282" s="4" t="s">
        <v>38</v>
      </c>
      <c r="C282" s="5">
        <v>45516</v>
      </c>
      <c r="D282" s="3">
        <v>10375</v>
      </c>
      <c r="E282" s="4" t="s">
        <v>13</v>
      </c>
      <c r="F282" s="3">
        <v>50</v>
      </c>
      <c r="G282" s="3" t="s">
        <v>24</v>
      </c>
      <c r="H282" s="3" t="s">
        <v>35</v>
      </c>
      <c r="I282" s="3">
        <v>47</v>
      </c>
      <c r="J282" s="3">
        <v>14.03</v>
      </c>
      <c r="K282" s="3" t="s">
        <v>31</v>
      </c>
      <c r="L282" s="4" t="s">
        <v>22</v>
      </c>
      <c r="M282" s="3">
        <v>14.4</v>
      </c>
      <c r="N282" s="3" t="s">
        <v>26</v>
      </c>
    </row>
    <row r="283" spans="1:14" x14ac:dyDescent="0.25">
      <c r="A283" s="3">
        <v>2435</v>
      </c>
      <c r="B283" s="4" t="s">
        <v>43</v>
      </c>
      <c r="C283" s="5">
        <v>45543</v>
      </c>
      <c r="D283" s="3">
        <v>10483</v>
      </c>
      <c r="E283" s="4" t="s">
        <v>19</v>
      </c>
      <c r="F283" s="3">
        <v>48</v>
      </c>
      <c r="G283" s="3" t="s">
        <v>15</v>
      </c>
      <c r="H283" s="3" t="s">
        <v>34</v>
      </c>
      <c r="I283" s="3">
        <v>33</v>
      </c>
      <c r="J283" s="3">
        <v>5.64</v>
      </c>
      <c r="K283" s="3" t="s">
        <v>16</v>
      </c>
      <c r="L283" s="4" t="s">
        <v>22</v>
      </c>
      <c r="M283" s="3">
        <v>9.6</v>
      </c>
      <c r="N283" s="3" t="s">
        <v>30</v>
      </c>
    </row>
    <row r="284" spans="1:14" x14ac:dyDescent="0.25">
      <c r="A284" s="3">
        <v>2438</v>
      </c>
      <c r="B284" s="4" t="s">
        <v>41</v>
      </c>
      <c r="C284" s="5">
        <v>45618</v>
      </c>
      <c r="D284" s="3">
        <v>10032</v>
      </c>
      <c r="E284" s="4" t="s">
        <v>13</v>
      </c>
      <c r="F284" s="3">
        <v>50</v>
      </c>
      <c r="G284" s="3" t="s">
        <v>14</v>
      </c>
      <c r="H284" s="3" t="s">
        <v>15</v>
      </c>
      <c r="I284" s="3">
        <v>30</v>
      </c>
      <c r="J284" s="3">
        <v>7.43</v>
      </c>
      <c r="K284" s="3" t="s">
        <v>31</v>
      </c>
      <c r="L284" s="4" t="s">
        <v>22</v>
      </c>
      <c r="M284" s="3">
        <v>11</v>
      </c>
      <c r="N284" s="3" t="s">
        <v>26</v>
      </c>
    </row>
    <row r="285" spans="1:14" x14ac:dyDescent="0.25">
      <c r="A285" s="3">
        <v>2439</v>
      </c>
      <c r="B285" s="4" t="s">
        <v>44</v>
      </c>
      <c r="C285" s="5">
        <v>45585</v>
      </c>
      <c r="D285" s="3">
        <v>10404</v>
      </c>
      <c r="E285" s="4" t="s">
        <v>13</v>
      </c>
      <c r="F285" s="3">
        <v>42</v>
      </c>
      <c r="G285" s="3" t="s">
        <v>33</v>
      </c>
      <c r="H285" s="3" t="s">
        <v>20</v>
      </c>
      <c r="I285" s="3">
        <v>41</v>
      </c>
      <c r="J285" s="3">
        <v>10.95</v>
      </c>
      <c r="K285" s="3" t="s">
        <v>31</v>
      </c>
      <c r="L285" s="4" t="s">
        <v>22</v>
      </c>
      <c r="M285" s="3">
        <v>13.2</v>
      </c>
      <c r="N285" s="3" t="s">
        <v>30</v>
      </c>
    </row>
    <row r="286" spans="1:14" x14ac:dyDescent="0.25">
      <c r="A286" s="3">
        <v>2441</v>
      </c>
      <c r="B286" s="4" t="s">
        <v>41</v>
      </c>
      <c r="C286" s="5">
        <v>45600</v>
      </c>
      <c r="D286" s="3">
        <v>10148</v>
      </c>
      <c r="E286" s="4" t="s">
        <v>13</v>
      </c>
      <c r="F286" s="3">
        <v>42</v>
      </c>
      <c r="G286" s="3" t="s">
        <v>34</v>
      </c>
      <c r="H286" s="3" t="s">
        <v>20</v>
      </c>
      <c r="I286" s="3">
        <v>7</v>
      </c>
      <c r="J286" s="3">
        <v>5.59</v>
      </c>
      <c r="K286" s="3" t="s">
        <v>16</v>
      </c>
      <c r="L286" s="4" t="s">
        <v>29</v>
      </c>
      <c r="M286" s="3">
        <v>4.4000000000000004</v>
      </c>
      <c r="N286" s="3" t="s">
        <v>23</v>
      </c>
    </row>
    <row r="287" spans="1:14" x14ac:dyDescent="0.25">
      <c r="A287" s="3">
        <v>2442</v>
      </c>
      <c r="B287" s="4" t="s">
        <v>38</v>
      </c>
      <c r="C287" s="5">
        <v>45514</v>
      </c>
      <c r="D287" s="3">
        <v>10450</v>
      </c>
      <c r="E287" s="4" t="s">
        <v>13</v>
      </c>
      <c r="F287" s="3">
        <v>45</v>
      </c>
      <c r="G287" s="3" t="s">
        <v>27</v>
      </c>
      <c r="H287" s="3" t="s">
        <v>24</v>
      </c>
      <c r="I287" s="3">
        <v>35</v>
      </c>
      <c r="J287" s="3">
        <v>6.78</v>
      </c>
      <c r="K287" s="3" t="s">
        <v>31</v>
      </c>
      <c r="L287" s="4" t="s">
        <v>17</v>
      </c>
      <c r="M287" s="3">
        <v>12</v>
      </c>
      <c r="N287" s="3" t="s">
        <v>26</v>
      </c>
    </row>
    <row r="288" spans="1:14" x14ac:dyDescent="0.25">
      <c r="A288" s="3">
        <v>2443</v>
      </c>
      <c r="B288" s="4" t="s">
        <v>37</v>
      </c>
      <c r="C288" s="5">
        <v>45387</v>
      </c>
      <c r="D288" s="3">
        <v>10420</v>
      </c>
      <c r="E288" s="4" t="s">
        <v>13</v>
      </c>
      <c r="F288" s="3">
        <v>19</v>
      </c>
      <c r="G288" s="3" t="s">
        <v>21</v>
      </c>
      <c r="H288" s="3" t="s">
        <v>28</v>
      </c>
      <c r="I288" s="3">
        <v>53</v>
      </c>
      <c r="J288" s="3">
        <v>9.94</v>
      </c>
      <c r="K288" s="3" t="s">
        <v>16</v>
      </c>
      <c r="L288" s="4" t="s">
        <v>29</v>
      </c>
      <c r="M288" s="3">
        <v>13.6</v>
      </c>
      <c r="N288" s="3" t="s">
        <v>23</v>
      </c>
    </row>
    <row r="289" spans="1:14" x14ac:dyDescent="0.25">
      <c r="A289" s="3">
        <v>2444</v>
      </c>
      <c r="B289" s="4" t="s">
        <v>37</v>
      </c>
      <c r="C289" s="5">
        <v>45389</v>
      </c>
      <c r="D289" s="3">
        <v>10442</v>
      </c>
      <c r="E289" s="4" t="s">
        <v>13</v>
      </c>
      <c r="F289" s="3">
        <v>53</v>
      </c>
      <c r="G289" s="3" t="s">
        <v>27</v>
      </c>
      <c r="H289" s="3" t="s">
        <v>14</v>
      </c>
      <c r="I289" s="3">
        <v>52</v>
      </c>
      <c r="J289" s="3">
        <v>7.16</v>
      </c>
      <c r="K289" s="3" t="s">
        <v>31</v>
      </c>
      <c r="L289" s="4" t="s">
        <v>22</v>
      </c>
      <c r="M289" s="3">
        <v>15.4</v>
      </c>
      <c r="N289" s="3" t="s">
        <v>30</v>
      </c>
    </row>
    <row r="290" spans="1:14" x14ac:dyDescent="0.25">
      <c r="A290" s="3">
        <v>2447</v>
      </c>
      <c r="B290" s="4" t="s">
        <v>44</v>
      </c>
      <c r="C290" s="5">
        <v>45592</v>
      </c>
      <c r="D290" s="3">
        <v>10155</v>
      </c>
      <c r="E290" s="4" t="s">
        <v>13</v>
      </c>
      <c r="F290" s="3">
        <v>49</v>
      </c>
      <c r="G290" s="3" t="s">
        <v>27</v>
      </c>
      <c r="H290" s="3" t="s">
        <v>24</v>
      </c>
      <c r="I290" s="3">
        <v>14</v>
      </c>
      <c r="J290" s="3">
        <v>12.46</v>
      </c>
      <c r="K290" s="3" t="s">
        <v>31</v>
      </c>
      <c r="L290" s="4" t="s">
        <v>22</v>
      </c>
      <c r="M290" s="3">
        <v>7.8</v>
      </c>
      <c r="N290" s="3" t="s">
        <v>30</v>
      </c>
    </row>
    <row r="291" spans="1:14" x14ac:dyDescent="0.25">
      <c r="A291" s="3">
        <v>2449</v>
      </c>
      <c r="B291" s="4" t="s">
        <v>48</v>
      </c>
      <c r="C291" s="5">
        <v>45311</v>
      </c>
      <c r="D291" s="3">
        <v>10339</v>
      </c>
      <c r="E291" s="4" t="s">
        <v>13</v>
      </c>
      <c r="F291" s="3">
        <v>22</v>
      </c>
      <c r="G291" s="3" t="s">
        <v>15</v>
      </c>
      <c r="H291" s="3" t="s">
        <v>34</v>
      </c>
      <c r="I291" s="3">
        <v>55</v>
      </c>
      <c r="J291" s="3">
        <v>1.61</v>
      </c>
      <c r="K291" s="3" t="s">
        <v>16</v>
      </c>
      <c r="L291" s="4" t="s">
        <v>17</v>
      </c>
      <c r="M291" s="3">
        <v>14</v>
      </c>
      <c r="N291" s="3" t="s">
        <v>30</v>
      </c>
    </row>
    <row r="292" spans="1:14" x14ac:dyDescent="0.25">
      <c r="A292" s="3">
        <v>2454</v>
      </c>
      <c r="B292" s="4" t="s">
        <v>45</v>
      </c>
      <c r="C292" s="5">
        <v>45454</v>
      </c>
      <c r="D292" s="3">
        <v>10201</v>
      </c>
      <c r="E292" s="4" t="s">
        <v>19</v>
      </c>
      <c r="F292" s="3">
        <v>45</v>
      </c>
      <c r="G292" s="3" t="s">
        <v>27</v>
      </c>
      <c r="H292" s="3" t="s">
        <v>25</v>
      </c>
      <c r="I292" s="3">
        <v>8</v>
      </c>
      <c r="J292" s="3">
        <v>1.74</v>
      </c>
      <c r="K292" s="3" t="s">
        <v>31</v>
      </c>
      <c r="L292" s="4" t="s">
        <v>29</v>
      </c>
      <c r="M292" s="3">
        <v>6.6</v>
      </c>
      <c r="N292" s="3" t="s">
        <v>30</v>
      </c>
    </row>
    <row r="293" spans="1:14" x14ac:dyDescent="0.25">
      <c r="A293" s="3">
        <v>2455</v>
      </c>
      <c r="B293" s="4" t="s">
        <v>43</v>
      </c>
      <c r="C293" s="5">
        <v>45551</v>
      </c>
      <c r="D293" s="3">
        <v>10229</v>
      </c>
      <c r="E293" s="4" t="s">
        <v>19</v>
      </c>
      <c r="F293" s="3">
        <v>54</v>
      </c>
      <c r="G293" s="3" t="s">
        <v>34</v>
      </c>
      <c r="H293" s="3" t="s">
        <v>14</v>
      </c>
      <c r="I293" s="3">
        <v>6</v>
      </c>
      <c r="J293" s="3">
        <v>1.42</v>
      </c>
      <c r="K293" s="3" t="s">
        <v>31</v>
      </c>
      <c r="L293" s="4" t="s">
        <v>22</v>
      </c>
      <c r="M293" s="3">
        <v>6.2</v>
      </c>
      <c r="N293" s="3" t="s">
        <v>26</v>
      </c>
    </row>
    <row r="294" spans="1:14" x14ac:dyDescent="0.25">
      <c r="A294" s="3">
        <v>2457</v>
      </c>
      <c r="B294" s="4" t="s">
        <v>42</v>
      </c>
      <c r="C294" s="5">
        <v>45656</v>
      </c>
      <c r="D294" s="3">
        <v>10042</v>
      </c>
      <c r="E294" s="4" t="s">
        <v>13</v>
      </c>
      <c r="F294" s="3">
        <v>22</v>
      </c>
      <c r="G294" s="3" t="s">
        <v>21</v>
      </c>
      <c r="H294" s="3" t="s">
        <v>25</v>
      </c>
      <c r="I294" s="3">
        <v>41</v>
      </c>
      <c r="J294" s="3">
        <v>1.37</v>
      </c>
      <c r="K294" s="3" t="s">
        <v>31</v>
      </c>
      <c r="L294" s="4" t="s">
        <v>17</v>
      </c>
      <c r="M294" s="3">
        <v>13.2</v>
      </c>
      <c r="N294" s="3" t="s">
        <v>26</v>
      </c>
    </row>
    <row r="295" spans="1:14" x14ac:dyDescent="0.25">
      <c r="A295" s="3">
        <v>2460</v>
      </c>
      <c r="B295" s="4" t="s">
        <v>48</v>
      </c>
      <c r="C295" s="5">
        <v>45297</v>
      </c>
      <c r="D295" s="3">
        <v>10337</v>
      </c>
      <c r="E295" s="4" t="s">
        <v>13</v>
      </c>
      <c r="F295" s="3">
        <v>37</v>
      </c>
      <c r="G295" s="3" t="s">
        <v>15</v>
      </c>
      <c r="H295" s="3" t="s">
        <v>33</v>
      </c>
      <c r="I295" s="3">
        <v>22</v>
      </c>
      <c r="J295" s="3">
        <v>9.0299999999999994</v>
      </c>
      <c r="K295" s="3" t="s">
        <v>31</v>
      </c>
      <c r="L295" s="4" t="s">
        <v>29</v>
      </c>
      <c r="M295" s="3">
        <v>9.4</v>
      </c>
      <c r="N295" s="3" t="s">
        <v>30</v>
      </c>
    </row>
    <row r="296" spans="1:14" x14ac:dyDescent="0.25">
      <c r="A296" s="3">
        <v>2462</v>
      </c>
      <c r="B296" s="4" t="s">
        <v>40</v>
      </c>
      <c r="C296" s="5">
        <v>45334</v>
      </c>
      <c r="D296" s="3">
        <v>10169</v>
      </c>
      <c r="E296" s="4" t="s">
        <v>13</v>
      </c>
      <c r="F296" s="3">
        <v>30</v>
      </c>
      <c r="G296" s="3" t="s">
        <v>25</v>
      </c>
      <c r="H296" s="3" t="s">
        <v>32</v>
      </c>
      <c r="I296" s="3">
        <v>28</v>
      </c>
      <c r="J296" s="3">
        <v>4.5</v>
      </c>
      <c r="K296" s="3" t="s">
        <v>31</v>
      </c>
      <c r="L296" s="4" t="s">
        <v>22</v>
      </c>
      <c r="M296" s="3">
        <v>10.6</v>
      </c>
      <c r="N296" s="3" t="s">
        <v>26</v>
      </c>
    </row>
    <row r="297" spans="1:14" x14ac:dyDescent="0.25">
      <c r="A297" s="3">
        <v>2465</v>
      </c>
      <c r="B297" s="4" t="s">
        <v>48</v>
      </c>
      <c r="C297" s="5">
        <v>45294</v>
      </c>
      <c r="D297" s="3">
        <v>10149</v>
      </c>
      <c r="E297" s="4" t="s">
        <v>13</v>
      </c>
      <c r="F297" s="3">
        <v>46</v>
      </c>
      <c r="G297" s="3" t="s">
        <v>14</v>
      </c>
      <c r="H297" s="3" t="s">
        <v>24</v>
      </c>
      <c r="I297" s="3">
        <v>23</v>
      </c>
      <c r="J297" s="3">
        <v>6.48</v>
      </c>
      <c r="K297" s="3" t="s">
        <v>31</v>
      </c>
      <c r="L297" s="4" t="s">
        <v>17</v>
      </c>
      <c r="M297" s="3">
        <v>9.6</v>
      </c>
      <c r="N297" s="3" t="s">
        <v>18</v>
      </c>
    </row>
    <row r="298" spans="1:14" x14ac:dyDescent="0.25">
      <c r="A298" s="3">
        <v>2466</v>
      </c>
      <c r="B298" s="4" t="s">
        <v>41</v>
      </c>
      <c r="C298" s="5">
        <v>45608</v>
      </c>
      <c r="D298" s="3">
        <v>10493</v>
      </c>
      <c r="E298" s="4" t="s">
        <v>19</v>
      </c>
      <c r="F298" s="3">
        <v>21</v>
      </c>
      <c r="G298" s="3" t="s">
        <v>14</v>
      </c>
      <c r="H298" s="3" t="s">
        <v>21</v>
      </c>
      <c r="I298" s="3">
        <v>42</v>
      </c>
      <c r="J298" s="3">
        <v>7.06</v>
      </c>
      <c r="K298" s="3" t="s">
        <v>16</v>
      </c>
      <c r="L298" s="4" t="s">
        <v>29</v>
      </c>
      <c r="M298" s="3">
        <v>11.4</v>
      </c>
      <c r="N298" s="3" t="s">
        <v>18</v>
      </c>
    </row>
    <row r="299" spans="1:14" x14ac:dyDescent="0.25">
      <c r="A299" s="3">
        <v>2467</v>
      </c>
      <c r="B299" s="4" t="s">
        <v>41</v>
      </c>
      <c r="C299" s="5">
        <v>45607</v>
      </c>
      <c r="D299" s="3">
        <v>10271</v>
      </c>
      <c r="E299" s="4" t="s">
        <v>19</v>
      </c>
      <c r="F299" s="3">
        <v>31</v>
      </c>
      <c r="G299" s="3" t="s">
        <v>34</v>
      </c>
      <c r="H299" s="3" t="s">
        <v>15</v>
      </c>
      <c r="I299" s="3">
        <v>28</v>
      </c>
      <c r="J299" s="3">
        <v>14.77</v>
      </c>
      <c r="K299" s="3" t="s">
        <v>16</v>
      </c>
      <c r="L299" s="4" t="s">
        <v>22</v>
      </c>
      <c r="M299" s="3">
        <v>8.6</v>
      </c>
      <c r="N299" s="3" t="s">
        <v>23</v>
      </c>
    </row>
    <row r="300" spans="1:14" x14ac:dyDescent="0.25">
      <c r="A300" s="3">
        <v>2468</v>
      </c>
      <c r="B300" s="4" t="s">
        <v>44</v>
      </c>
      <c r="C300" s="5">
        <v>45575</v>
      </c>
      <c r="D300" s="3">
        <v>10423</v>
      </c>
      <c r="E300" s="4" t="s">
        <v>19</v>
      </c>
      <c r="F300" s="3">
        <v>27</v>
      </c>
      <c r="G300" s="3" t="s">
        <v>20</v>
      </c>
      <c r="H300" s="3" t="s">
        <v>24</v>
      </c>
      <c r="I300" s="3">
        <v>46</v>
      </c>
      <c r="J300" s="3">
        <v>4.5599999999999996</v>
      </c>
      <c r="K300" s="3" t="s">
        <v>16</v>
      </c>
      <c r="L300" s="4" t="s">
        <v>17</v>
      </c>
      <c r="M300" s="3">
        <v>12.2</v>
      </c>
      <c r="N300" s="3" t="s">
        <v>23</v>
      </c>
    </row>
    <row r="301" spans="1:14" x14ac:dyDescent="0.25">
      <c r="A301" s="3">
        <v>2473</v>
      </c>
      <c r="B301" s="4" t="s">
        <v>44</v>
      </c>
      <c r="C301" s="5">
        <v>45570</v>
      </c>
      <c r="D301" s="3">
        <v>10114</v>
      </c>
      <c r="E301" s="4" t="s">
        <v>19</v>
      </c>
      <c r="F301" s="3">
        <v>29</v>
      </c>
      <c r="G301" s="3" t="s">
        <v>28</v>
      </c>
      <c r="H301" s="3" t="s">
        <v>20</v>
      </c>
      <c r="I301" s="3">
        <v>53</v>
      </c>
      <c r="J301" s="3">
        <v>3.98</v>
      </c>
      <c r="K301" s="3" t="s">
        <v>16</v>
      </c>
      <c r="L301" s="4" t="s">
        <v>17</v>
      </c>
      <c r="M301" s="3">
        <v>13.6</v>
      </c>
      <c r="N301" s="3" t="s">
        <v>26</v>
      </c>
    </row>
    <row r="302" spans="1:14" x14ac:dyDescent="0.25">
      <c r="A302" s="3">
        <v>2476</v>
      </c>
      <c r="B302" s="4" t="s">
        <v>41</v>
      </c>
      <c r="C302" s="5">
        <v>45602</v>
      </c>
      <c r="D302" s="3">
        <v>10481</v>
      </c>
      <c r="E302" s="4" t="s">
        <v>13</v>
      </c>
      <c r="F302" s="3">
        <v>47</v>
      </c>
      <c r="G302" s="3" t="s">
        <v>14</v>
      </c>
      <c r="H302" s="3" t="s">
        <v>15</v>
      </c>
      <c r="I302" s="3">
        <v>38</v>
      </c>
      <c r="J302" s="3">
        <v>2.57</v>
      </c>
      <c r="K302" s="3" t="s">
        <v>16</v>
      </c>
      <c r="L302" s="4" t="s">
        <v>17</v>
      </c>
      <c r="M302" s="3">
        <v>10.6</v>
      </c>
      <c r="N302" s="3" t="s">
        <v>18</v>
      </c>
    </row>
    <row r="303" spans="1:14" x14ac:dyDescent="0.25">
      <c r="A303" s="3">
        <v>2477</v>
      </c>
      <c r="B303" s="4" t="s">
        <v>42</v>
      </c>
      <c r="C303" s="5">
        <v>45637</v>
      </c>
      <c r="D303" s="3">
        <v>10410</v>
      </c>
      <c r="E303" s="4" t="s">
        <v>13</v>
      </c>
      <c r="F303" s="3">
        <v>29</v>
      </c>
      <c r="G303" s="3" t="s">
        <v>33</v>
      </c>
      <c r="H303" s="3" t="s">
        <v>15</v>
      </c>
      <c r="I303" s="3">
        <v>48</v>
      </c>
      <c r="J303" s="3">
        <v>14.48</v>
      </c>
      <c r="K303" s="3" t="s">
        <v>31</v>
      </c>
      <c r="L303" s="4" t="s">
        <v>17</v>
      </c>
      <c r="M303" s="3">
        <v>14.6</v>
      </c>
      <c r="N303" s="3" t="s">
        <v>30</v>
      </c>
    </row>
    <row r="304" spans="1:14" x14ac:dyDescent="0.25">
      <c r="A304" s="3">
        <v>2484</v>
      </c>
      <c r="B304" s="4" t="s">
        <v>44</v>
      </c>
      <c r="C304" s="5">
        <v>45589</v>
      </c>
      <c r="D304" s="3">
        <v>10279</v>
      </c>
      <c r="E304" s="4" t="s">
        <v>13</v>
      </c>
      <c r="F304" s="3">
        <v>30</v>
      </c>
      <c r="G304" s="3" t="s">
        <v>33</v>
      </c>
      <c r="H304" s="3" t="s">
        <v>34</v>
      </c>
      <c r="I304" s="3">
        <v>52</v>
      </c>
      <c r="J304" s="3">
        <v>1.56</v>
      </c>
      <c r="K304" s="3" t="s">
        <v>31</v>
      </c>
      <c r="L304" s="4" t="s">
        <v>22</v>
      </c>
      <c r="M304" s="3">
        <v>15.4</v>
      </c>
      <c r="N304" s="3" t="s">
        <v>26</v>
      </c>
    </row>
    <row r="305" spans="1:14" x14ac:dyDescent="0.25">
      <c r="A305" s="3">
        <v>2489</v>
      </c>
      <c r="B305" s="4" t="s">
        <v>37</v>
      </c>
      <c r="C305" s="5">
        <v>45389</v>
      </c>
      <c r="D305" s="3">
        <v>10120</v>
      </c>
      <c r="E305" s="4" t="s">
        <v>19</v>
      </c>
      <c r="F305" s="3">
        <v>33</v>
      </c>
      <c r="G305" s="3" t="s">
        <v>27</v>
      </c>
      <c r="H305" s="3" t="s">
        <v>20</v>
      </c>
      <c r="I305" s="3">
        <v>48</v>
      </c>
      <c r="J305" s="3">
        <v>11.96</v>
      </c>
      <c r="K305" s="3" t="s">
        <v>31</v>
      </c>
      <c r="L305" s="4" t="s">
        <v>29</v>
      </c>
      <c r="M305" s="3">
        <v>14.6</v>
      </c>
      <c r="N305" s="3" t="s">
        <v>26</v>
      </c>
    </row>
    <row r="306" spans="1:14" x14ac:dyDescent="0.25">
      <c r="A306" s="3">
        <v>2491</v>
      </c>
      <c r="B306" s="4" t="s">
        <v>42</v>
      </c>
      <c r="C306" s="5">
        <v>45655</v>
      </c>
      <c r="D306" s="3">
        <v>10322</v>
      </c>
      <c r="E306" s="4" t="s">
        <v>19</v>
      </c>
      <c r="F306" s="3">
        <v>51</v>
      </c>
      <c r="G306" s="3" t="s">
        <v>20</v>
      </c>
      <c r="H306" s="3" t="s">
        <v>34</v>
      </c>
      <c r="I306" s="3">
        <v>39</v>
      </c>
      <c r="J306" s="3">
        <v>12.19</v>
      </c>
      <c r="K306" s="3" t="s">
        <v>31</v>
      </c>
      <c r="L306" s="4" t="s">
        <v>22</v>
      </c>
      <c r="M306" s="3">
        <v>12.8</v>
      </c>
      <c r="N306" s="3" t="s">
        <v>26</v>
      </c>
    </row>
    <row r="307" spans="1:14" x14ac:dyDescent="0.25">
      <c r="A307" s="3">
        <v>2492</v>
      </c>
      <c r="B307" s="4" t="s">
        <v>48</v>
      </c>
      <c r="C307" s="5">
        <v>45292</v>
      </c>
      <c r="D307" s="3">
        <v>10029</v>
      </c>
      <c r="E307" s="4" t="s">
        <v>19</v>
      </c>
      <c r="F307" s="3">
        <v>39</v>
      </c>
      <c r="G307" s="3" t="s">
        <v>15</v>
      </c>
      <c r="H307" s="3" t="s">
        <v>32</v>
      </c>
      <c r="I307" s="3">
        <v>11</v>
      </c>
      <c r="J307" s="3">
        <v>1.47</v>
      </c>
      <c r="K307" s="3" t="s">
        <v>31</v>
      </c>
      <c r="L307" s="4" t="s">
        <v>29</v>
      </c>
      <c r="M307" s="3">
        <v>7.2</v>
      </c>
      <c r="N307" s="3" t="s">
        <v>18</v>
      </c>
    </row>
    <row r="308" spans="1:14" x14ac:dyDescent="0.25">
      <c r="A308" s="3">
        <v>2493</v>
      </c>
      <c r="B308" s="4" t="s">
        <v>41</v>
      </c>
      <c r="C308" s="5">
        <v>45601</v>
      </c>
      <c r="D308" s="3">
        <v>10174</v>
      </c>
      <c r="E308" s="4" t="s">
        <v>19</v>
      </c>
      <c r="F308" s="3">
        <v>53</v>
      </c>
      <c r="G308" s="3" t="s">
        <v>24</v>
      </c>
      <c r="H308" s="3" t="s">
        <v>35</v>
      </c>
      <c r="I308" s="3">
        <v>22</v>
      </c>
      <c r="J308" s="3">
        <v>14.81</v>
      </c>
      <c r="K308" s="3" t="s">
        <v>16</v>
      </c>
      <c r="L308" s="4" t="s">
        <v>17</v>
      </c>
      <c r="M308" s="3">
        <v>7.4</v>
      </c>
      <c r="N308" s="3" t="s">
        <v>26</v>
      </c>
    </row>
    <row r="309" spans="1:14" x14ac:dyDescent="0.25">
      <c r="A309" s="3">
        <v>2497</v>
      </c>
      <c r="B309" s="4" t="s">
        <v>38</v>
      </c>
      <c r="C309" s="5">
        <v>45531</v>
      </c>
      <c r="D309" s="3">
        <v>10317</v>
      </c>
      <c r="E309" s="4" t="s">
        <v>13</v>
      </c>
      <c r="F309" s="3">
        <v>42</v>
      </c>
      <c r="G309" s="3" t="s">
        <v>35</v>
      </c>
      <c r="H309" s="3" t="s">
        <v>27</v>
      </c>
      <c r="I309" s="3">
        <v>46</v>
      </c>
      <c r="J309" s="3">
        <v>9.49</v>
      </c>
      <c r="K309" s="3" t="s">
        <v>31</v>
      </c>
      <c r="L309" s="4" t="s">
        <v>29</v>
      </c>
      <c r="M309" s="3">
        <v>14.2</v>
      </c>
      <c r="N309" s="3" t="s">
        <v>26</v>
      </c>
    </row>
    <row r="310" spans="1:14" x14ac:dyDescent="0.25">
      <c r="A310" s="3">
        <v>2502</v>
      </c>
      <c r="B310" s="4" t="s">
        <v>44</v>
      </c>
      <c r="C310" s="5">
        <v>45581</v>
      </c>
      <c r="D310" s="3">
        <v>10304</v>
      </c>
      <c r="E310" s="4" t="s">
        <v>19</v>
      </c>
      <c r="F310" s="3">
        <v>53</v>
      </c>
      <c r="G310" s="3" t="s">
        <v>20</v>
      </c>
      <c r="H310" s="3" t="s">
        <v>32</v>
      </c>
      <c r="I310" s="3">
        <v>56</v>
      </c>
      <c r="J310" s="3">
        <v>8.1300000000000008</v>
      </c>
      <c r="K310" s="3" t="s">
        <v>31</v>
      </c>
      <c r="L310" s="4" t="s">
        <v>22</v>
      </c>
      <c r="M310" s="3">
        <v>16.2</v>
      </c>
      <c r="N310" s="3" t="s">
        <v>26</v>
      </c>
    </row>
    <row r="311" spans="1:14" x14ac:dyDescent="0.25">
      <c r="A311" s="3">
        <v>2504</v>
      </c>
      <c r="B311" s="4" t="s">
        <v>42</v>
      </c>
      <c r="C311" s="5">
        <v>45649</v>
      </c>
      <c r="D311" s="3">
        <v>10010</v>
      </c>
      <c r="E311" s="4" t="s">
        <v>13</v>
      </c>
      <c r="F311" s="3">
        <v>18</v>
      </c>
      <c r="G311" s="3" t="s">
        <v>20</v>
      </c>
      <c r="H311" s="3" t="s">
        <v>32</v>
      </c>
      <c r="I311" s="3">
        <v>39</v>
      </c>
      <c r="J311" s="3">
        <v>7.71</v>
      </c>
      <c r="K311" s="3" t="s">
        <v>16</v>
      </c>
      <c r="L311" s="4" t="s">
        <v>17</v>
      </c>
      <c r="M311" s="3">
        <v>10.8</v>
      </c>
      <c r="N311" s="3" t="s">
        <v>23</v>
      </c>
    </row>
    <row r="312" spans="1:14" x14ac:dyDescent="0.25">
      <c r="A312" s="3">
        <v>2505</v>
      </c>
      <c r="B312" s="4" t="s">
        <v>38</v>
      </c>
      <c r="C312" s="5">
        <v>45531</v>
      </c>
      <c r="D312" s="3">
        <v>10379</v>
      </c>
      <c r="E312" s="4" t="s">
        <v>19</v>
      </c>
      <c r="F312" s="3">
        <v>35</v>
      </c>
      <c r="G312" s="3" t="s">
        <v>33</v>
      </c>
      <c r="H312" s="3" t="s">
        <v>32</v>
      </c>
      <c r="I312" s="3">
        <v>18</v>
      </c>
      <c r="J312" s="3">
        <v>9.6300000000000008</v>
      </c>
      <c r="K312" s="3" t="s">
        <v>31</v>
      </c>
      <c r="L312" s="4" t="s">
        <v>17</v>
      </c>
      <c r="M312" s="3">
        <v>8.6</v>
      </c>
      <c r="N312" s="3" t="s">
        <v>18</v>
      </c>
    </row>
    <row r="313" spans="1:14" x14ac:dyDescent="0.25">
      <c r="A313" s="3">
        <v>2510</v>
      </c>
      <c r="B313" s="4" t="s">
        <v>48</v>
      </c>
      <c r="C313" s="5">
        <v>45309</v>
      </c>
      <c r="D313" s="3">
        <v>10497</v>
      </c>
      <c r="E313" s="4" t="s">
        <v>19</v>
      </c>
      <c r="F313" s="3">
        <v>32</v>
      </c>
      <c r="G313" s="3" t="s">
        <v>20</v>
      </c>
      <c r="H313" s="3" t="s">
        <v>25</v>
      </c>
      <c r="I313" s="3">
        <v>14</v>
      </c>
      <c r="J313" s="3">
        <v>3.04</v>
      </c>
      <c r="K313" s="3" t="s">
        <v>16</v>
      </c>
      <c r="L313" s="4" t="s">
        <v>29</v>
      </c>
      <c r="M313" s="3">
        <v>5.8</v>
      </c>
      <c r="N313" s="3" t="s">
        <v>26</v>
      </c>
    </row>
    <row r="314" spans="1:14" x14ac:dyDescent="0.25">
      <c r="A314" s="3">
        <v>2516</v>
      </c>
      <c r="B314" s="4" t="s">
        <v>48</v>
      </c>
      <c r="C314" s="5">
        <v>45292</v>
      </c>
      <c r="D314" s="3">
        <v>10173</v>
      </c>
      <c r="E314" s="4" t="s">
        <v>19</v>
      </c>
      <c r="F314" s="3">
        <v>48</v>
      </c>
      <c r="G314" s="3" t="s">
        <v>21</v>
      </c>
      <c r="H314" s="3" t="s">
        <v>15</v>
      </c>
      <c r="I314" s="3">
        <v>25</v>
      </c>
      <c r="J314" s="3">
        <v>5.0599999999999996</v>
      </c>
      <c r="K314" s="3" t="s">
        <v>16</v>
      </c>
      <c r="L314" s="4" t="s">
        <v>29</v>
      </c>
      <c r="M314" s="3">
        <v>8</v>
      </c>
      <c r="N314" s="3" t="s">
        <v>18</v>
      </c>
    </row>
    <row r="315" spans="1:14" x14ac:dyDescent="0.25">
      <c r="A315" s="3">
        <v>2520</v>
      </c>
      <c r="B315" s="4" t="s">
        <v>45</v>
      </c>
      <c r="C315" s="5">
        <v>45456</v>
      </c>
      <c r="D315" s="3">
        <v>10250</v>
      </c>
      <c r="E315" s="4" t="s">
        <v>13</v>
      </c>
      <c r="F315" s="3">
        <v>43</v>
      </c>
      <c r="G315" s="3" t="s">
        <v>28</v>
      </c>
      <c r="H315" s="3" t="s">
        <v>27</v>
      </c>
      <c r="I315" s="3">
        <v>35</v>
      </c>
      <c r="J315" s="3">
        <v>5.85</v>
      </c>
      <c r="K315" s="3" t="s">
        <v>31</v>
      </c>
      <c r="L315" s="4" t="s">
        <v>17</v>
      </c>
      <c r="M315" s="3">
        <v>12</v>
      </c>
      <c r="N315" s="3" t="s">
        <v>18</v>
      </c>
    </row>
    <row r="316" spans="1:14" x14ac:dyDescent="0.25">
      <c r="A316" s="3">
        <v>2521</v>
      </c>
      <c r="B316" s="4" t="s">
        <v>48</v>
      </c>
      <c r="C316" s="5">
        <v>45311</v>
      </c>
      <c r="D316" s="3">
        <v>10209</v>
      </c>
      <c r="E316" s="4" t="s">
        <v>19</v>
      </c>
      <c r="F316" s="3">
        <v>44</v>
      </c>
      <c r="G316" s="3" t="s">
        <v>14</v>
      </c>
      <c r="H316" s="3" t="s">
        <v>32</v>
      </c>
      <c r="I316" s="3">
        <v>5</v>
      </c>
      <c r="J316" s="3">
        <v>1.86</v>
      </c>
      <c r="K316" s="3" t="s">
        <v>16</v>
      </c>
      <c r="L316" s="4" t="s">
        <v>22</v>
      </c>
      <c r="M316" s="3">
        <v>4</v>
      </c>
      <c r="N316" s="3" t="s">
        <v>23</v>
      </c>
    </row>
    <row r="317" spans="1:14" x14ac:dyDescent="0.25">
      <c r="A317" s="3">
        <v>2524</v>
      </c>
      <c r="B317" s="4" t="s">
        <v>38</v>
      </c>
      <c r="C317" s="5">
        <v>45519</v>
      </c>
      <c r="D317" s="3">
        <v>10130</v>
      </c>
      <c r="E317" s="4" t="s">
        <v>19</v>
      </c>
      <c r="F317" s="3">
        <v>37</v>
      </c>
      <c r="G317" s="3" t="s">
        <v>20</v>
      </c>
      <c r="H317" s="3" t="s">
        <v>14</v>
      </c>
      <c r="I317" s="3">
        <v>14</v>
      </c>
      <c r="J317" s="3">
        <v>6.32</v>
      </c>
      <c r="K317" s="3" t="s">
        <v>16</v>
      </c>
      <c r="L317" s="4" t="s">
        <v>22</v>
      </c>
      <c r="M317" s="3">
        <v>5.8</v>
      </c>
      <c r="N317" s="3" t="s">
        <v>18</v>
      </c>
    </row>
    <row r="318" spans="1:14" x14ac:dyDescent="0.25">
      <c r="A318" s="3">
        <v>2530</v>
      </c>
      <c r="B318" s="4" t="s">
        <v>46</v>
      </c>
      <c r="C318" s="5">
        <v>45382</v>
      </c>
      <c r="D318" s="3">
        <v>10012</v>
      </c>
      <c r="E318" s="4" t="s">
        <v>13</v>
      </c>
      <c r="F318" s="3">
        <v>22</v>
      </c>
      <c r="G318" s="3" t="s">
        <v>35</v>
      </c>
      <c r="H318" s="3" t="s">
        <v>24</v>
      </c>
      <c r="I318" s="3">
        <v>20</v>
      </c>
      <c r="J318" s="3">
        <v>7.23</v>
      </c>
      <c r="K318" s="3" t="s">
        <v>31</v>
      </c>
      <c r="L318" s="4" t="s">
        <v>29</v>
      </c>
      <c r="M318" s="3">
        <v>9</v>
      </c>
      <c r="N318" s="3" t="s">
        <v>30</v>
      </c>
    </row>
    <row r="319" spans="1:14" x14ac:dyDescent="0.25">
      <c r="A319" s="3">
        <v>2537</v>
      </c>
      <c r="B319" s="4" t="s">
        <v>37</v>
      </c>
      <c r="C319" s="5">
        <v>45410</v>
      </c>
      <c r="D319" s="3">
        <v>10227</v>
      </c>
      <c r="E319" s="4" t="s">
        <v>13</v>
      </c>
      <c r="F319" s="3">
        <v>48</v>
      </c>
      <c r="G319" s="3" t="s">
        <v>25</v>
      </c>
      <c r="H319" s="3" t="s">
        <v>20</v>
      </c>
      <c r="I319" s="3">
        <v>44</v>
      </c>
      <c r="J319" s="3">
        <v>4.08</v>
      </c>
      <c r="K319" s="3" t="s">
        <v>16</v>
      </c>
      <c r="L319" s="4" t="s">
        <v>22</v>
      </c>
      <c r="M319" s="3">
        <v>11.8</v>
      </c>
      <c r="N319" s="3" t="s">
        <v>23</v>
      </c>
    </row>
    <row r="320" spans="1:14" x14ac:dyDescent="0.25">
      <c r="A320" s="3">
        <v>2539</v>
      </c>
      <c r="B320" s="4" t="s">
        <v>44</v>
      </c>
      <c r="C320" s="5">
        <v>45595</v>
      </c>
      <c r="D320" s="3">
        <v>10471</v>
      </c>
      <c r="E320" s="4" t="s">
        <v>19</v>
      </c>
      <c r="F320" s="3">
        <v>41</v>
      </c>
      <c r="G320" s="3" t="s">
        <v>27</v>
      </c>
      <c r="H320" s="3" t="s">
        <v>34</v>
      </c>
      <c r="I320" s="3">
        <v>23</v>
      </c>
      <c r="J320" s="3">
        <v>12.74</v>
      </c>
      <c r="K320" s="3" t="s">
        <v>16</v>
      </c>
      <c r="L320" s="4" t="s">
        <v>29</v>
      </c>
      <c r="M320" s="3">
        <v>7.6</v>
      </c>
      <c r="N320" s="3" t="s">
        <v>18</v>
      </c>
    </row>
    <row r="321" spans="1:14" x14ac:dyDescent="0.25">
      <c r="A321" s="3">
        <v>2543</v>
      </c>
      <c r="B321" s="4" t="s">
        <v>39</v>
      </c>
      <c r="C321" s="5">
        <v>45415</v>
      </c>
      <c r="D321" s="3">
        <v>10109</v>
      </c>
      <c r="E321" s="4" t="s">
        <v>19</v>
      </c>
      <c r="F321" s="3">
        <v>34</v>
      </c>
      <c r="G321" s="3" t="s">
        <v>25</v>
      </c>
      <c r="H321" s="3" t="s">
        <v>25</v>
      </c>
      <c r="I321" s="3">
        <v>18</v>
      </c>
      <c r="J321" s="3">
        <v>4.3600000000000003</v>
      </c>
      <c r="K321" s="3" t="s">
        <v>16</v>
      </c>
      <c r="L321" s="4" t="s">
        <v>17</v>
      </c>
      <c r="M321" s="3">
        <v>6.6</v>
      </c>
      <c r="N321" s="3" t="s">
        <v>30</v>
      </c>
    </row>
    <row r="322" spans="1:14" x14ac:dyDescent="0.25">
      <c r="A322" s="3">
        <v>2549</v>
      </c>
      <c r="B322" s="4" t="s">
        <v>43</v>
      </c>
      <c r="C322" s="5">
        <v>45552</v>
      </c>
      <c r="D322" s="3">
        <v>10001</v>
      </c>
      <c r="E322" s="4" t="s">
        <v>13</v>
      </c>
      <c r="F322" s="3">
        <v>43</v>
      </c>
      <c r="G322" s="3" t="s">
        <v>15</v>
      </c>
      <c r="H322" s="3" t="s">
        <v>20</v>
      </c>
      <c r="I322" s="3">
        <v>26</v>
      </c>
      <c r="J322" s="3">
        <v>5.61</v>
      </c>
      <c r="K322" s="3" t="s">
        <v>31</v>
      </c>
      <c r="L322" s="4" t="s">
        <v>29</v>
      </c>
      <c r="M322" s="3">
        <v>10.199999999999999</v>
      </c>
      <c r="N322" s="3" t="s">
        <v>26</v>
      </c>
    </row>
    <row r="323" spans="1:14" x14ac:dyDescent="0.25">
      <c r="A323" s="3">
        <v>2550</v>
      </c>
      <c r="B323" s="4" t="s">
        <v>39</v>
      </c>
      <c r="C323" s="5">
        <v>45420</v>
      </c>
      <c r="D323" s="3">
        <v>10426</v>
      </c>
      <c r="E323" s="4" t="s">
        <v>19</v>
      </c>
      <c r="F323" s="3">
        <v>38</v>
      </c>
      <c r="G323" s="3" t="s">
        <v>34</v>
      </c>
      <c r="H323" s="3" t="s">
        <v>33</v>
      </c>
      <c r="I323" s="3">
        <v>52</v>
      </c>
      <c r="J323" s="3">
        <v>1.32</v>
      </c>
      <c r="K323" s="3" t="s">
        <v>31</v>
      </c>
      <c r="L323" s="4" t="s">
        <v>29</v>
      </c>
      <c r="M323" s="3">
        <v>15.4</v>
      </c>
      <c r="N323" s="3" t="s">
        <v>23</v>
      </c>
    </row>
    <row r="324" spans="1:14" x14ac:dyDescent="0.25">
      <c r="A324" s="3">
        <v>2551</v>
      </c>
      <c r="B324" s="4" t="s">
        <v>37</v>
      </c>
      <c r="C324" s="5">
        <v>45398</v>
      </c>
      <c r="D324" s="3">
        <v>10460</v>
      </c>
      <c r="E324" s="4" t="s">
        <v>13</v>
      </c>
      <c r="F324" s="3">
        <v>39</v>
      </c>
      <c r="G324" s="3" t="s">
        <v>35</v>
      </c>
      <c r="H324" s="3" t="s">
        <v>24</v>
      </c>
      <c r="I324" s="3">
        <v>49</v>
      </c>
      <c r="J324" s="3">
        <v>1.34</v>
      </c>
      <c r="K324" s="3" t="s">
        <v>31</v>
      </c>
      <c r="L324" s="4" t="s">
        <v>17</v>
      </c>
      <c r="M324" s="3">
        <v>14.8</v>
      </c>
      <c r="N324" s="3" t="s">
        <v>26</v>
      </c>
    </row>
    <row r="325" spans="1:14" x14ac:dyDescent="0.25">
      <c r="A325" s="3">
        <v>2552</v>
      </c>
      <c r="B325" s="4" t="s">
        <v>46</v>
      </c>
      <c r="C325" s="5">
        <v>45367</v>
      </c>
      <c r="D325" s="3">
        <v>10110</v>
      </c>
      <c r="E325" s="4" t="s">
        <v>19</v>
      </c>
      <c r="F325" s="3">
        <v>46</v>
      </c>
      <c r="G325" s="3" t="s">
        <v>35</v>
      </c>
      <c r="H325" s="3" t="s">
        <v>32</v>
      </c>
      <c r="I325" s="3">
        <v>6</v>
      </c>
      <c r="J325" s="3">
        <v>10.97</v>
      </c>
      <c r="K325" s="3" t="s">
        <v>31</v>
      </c>
      <c r="L325" s="4" t="s">
        <v>17</v>
      </c>
      <c r="M325" s="3">
        <v>6.2</v>
      </c>
      <c r="N325" s="3" t="s">
        <v>30</v>
      </c>
    </row>
    <row r="326" spans="1:14" x14ac:dyDescent="0.25">
      <c r="A326" s="3">
        <v>2553</v>
      </c>
      <c r="B326" s="4" t="s">
        <v>37</v>
      </c>
      <c r="C326" s="5">
        <v>45384</v>
      </c>
      <c r="D326" s="3">
        <v>10477</v>
      </c>
      <c r="E326" s="4" t="s">
        <v>19</v>
      </c>
      <c r="F326" s="3">
        <v>32</v>
      </c>
      <c r="G326" s="3" t="s">
        <v>24</v>
      </c>
      <c r="H326" s="3" t="s">
        <v>25</v>
      </c>
      <c r="I326" s="3">
        <v>50</v>
      </c>
      <c r="J326" s="3">
        <v>10.98</v>
      </c>
      <c r="K326" s="3" t="s">
        <v>16</v>
      </c>
      <c r="L326" s="4" t="s">
        <v>22</v>
      </c>
      <c r="M326" s="3">
        <v>13</v>
      </c>
      <c r="N326" s="3" t="s">
        <v>23</v>
      </c>
    </row>
    <row r="327" spans="1:14" x14ac:dyDescent="0.25">
      <c r="A327" s="3">
        <v>2563</v>
      </c>
      <c r="B327" s="4" t="s">
        <v>37</v>
      </c>
      <c r="C327" s="5">
        <v>45403</v>
      </c>
      <c r="D327" s="3">
        <v>10128</v>
      </c>
      <c r="E327" s="4" t="s">
        <v>13</v>
      </c>
      <c r="F327" s="3">
        <v>32</v>
      </c>
      <c r="G327" s="3" t="s">
        <v>20</v>
      </c>
      <c r="H327" s="3" t="s">
        <v>27</v>
      </c>
      <c r="I327" s="3">
        <v>31</v>
      </c>
      <c r="J327" s="3">
        <v>7.48</v>
      </c>
      <c r="K327" s="3" t="s">
        <v>16</v>
      </c>
      <c r="L327" s="4" t="s">
        <v>29</v>
      </c>
      <c r="M327" s="3">
        <v>9.1999999999999993</v>
      </c>
      <c r="N327" s="3" t="s">
        <v>30</v>
      </c>
    </row>
    <row r="328" spans="1:14" x14ac:dyDescent="0.25">
      <c r="A328" s="3">
        <v>2566</v>
      </c>
      <c r="B328" s="4" t="s">
        <v>44</v>
      </c>
      <c r="C328" s="5">
        <v>45596</v>
      </c>
      <c r="D328" s="3">
        <v>10217</v>
      </c>
      <c r="E328" s="4" t="s">
        <v>13</v>
      </c>
      <c r="F328" s="3">
        <v>49</v>
      </c>
      <c r="G328" s="3" t="s">
        <v>35</v>
      </c>
      <c r="H328" s="3" t="s">
        <v>28</v>
      </c>
      <c r="I328" s="3">
        <v>59</v>
      </c>
      <c r="J328" s="3">
        <v>14.47</v>
      </c>
      <c r="K328" s="3" t="s">
        <v>16</v>
      </c>
      <c r="L328" s="4" t="s">
        <v>29</v>
      </c>
      <c r="M328" s="3">
        <v>14.8</v>
      </c>
      <c r="N328" s="3" t="s">
        <v>26</v>
      </c>
    </row>
    <row r="329" spans="1:14" x14ac:dyDescent="0.25">
      <c r="A329" s="3">
        <v>2572</v>
      </c>
      <c r="B329" s="4" t="s">
        <v>43</v>
      </c>
      <c r="C329" s="5">
        <v>45546</v>
      </c>
      <c r="D329" s="3">
        <v>10052</v>
      </c>
      <c r="E329" s="4" t="s">
        <v>19</v>
      </c>
      <c r="F329" s="3">
        <v>23</v>
      </c>
      <c r="G329" s="3" t="s">
        <v>20</v>
      </c>
      <c r="H329" s="3" t="s">
        <v>21</v>
      </c>
      <c r="I329" s="3">
        <v>53</v>
      </c>
      <c r="J329" s="3">
        <v>7.54</v>
      </c>
      <c r="K329" s="3" t="s">
        <v>16</v>
      </c>
      <c r="L329" s="4" t="s">
        <v>22</v>
      </c>
      <c r="M329" s="3">
        <v>13.6</v>
      </c>
      <c r="N329" s="3" t="s">
        <v>30</v>
      </c>
    </row>
    <row r="330" spans="1:14" x14ac:dyDescent="0.25">
      <c r="A330" s="3">
        <v>2576</v>
      </c>
      <c r="B330" s="4" t="s">
        <v>41</v>
      </c>
      <c r="C330" s="5">
        <v>45610</v>
      </c>
      <c r="D330" s="3">
        <v>10241</v>
      </c>
      <c r="E330" s="4" t="s">
        <v>13</v>
      </c>
      <c r="F330" s="3">
        <v>38</v>
      </c>
      <c r="G330" s="3" t="s">
        <v>35</v>
      </c>
      <c r="H330" s="3" t="s">
        <v>21</v>
      </c>
      <c r="I330" s="3">
        <v>9</v>
      </c>
      <c r="J330" s="3">
        <v>9.9700000000000006</v>
      </c>
      <c r="K330" s="3" t="s">
        <v>31</v>
      </c>
      <c r="L330" s="4" t="s">
        <v>29</v>
      </c>
      <c r="M330" s="3">
        <v>6.8</v>
      </c>
      <c r="N330" s="3" t="s">
        <v>23</v>
      </c>
    </row>
    <row r="331" spans="1:14" x14ac:dyDescent="0.25">
      <c r="A331" s="3">
        <v>2580</v>
      </c>
      <c r="B331" s="4" t="s">
        <v>37</v>
      </c>
      <c r="C331" s="5">
        <v>45389</v>
      </c>
      <c r="D331" s="3">
        <v>10473</v>
      </c>
      <c r="E331" s="4" t="s">
        <v>13</v>
      </c>
      <c r="F331" s="3">
        <v>55</v>
      </c>
      <c r="G331" s="3" t="s">
        <v>34</v>
      </c>
      <c r="H331" s="3" t="s">
        <v>24</v>
      </c>
      <c r="I331" s="3">
        <v>58</v>
      </c>
      <c r="J331" s="3">
        <v>9.3699999999999992</v>
      </c>
      <c r="K331" s="3" t="s">
        <v>31</v>
      </c>
      <c r="L331" s="4" t="s">
        <v>22</v>
      </c>
      <c r="M331" s="3">
        <v>16.600000000000001</v>
      </c>
      <c r="N331" s="3" t="s">
        <v>23</v>
      </c>
    </row>
    <row r="332" spans="1:14" x14ac:dyDescent="0.25">
      <c r="A332" s="3">
        <v>2584</v>
      </c>
      <c r="B332" s="4" t="s">
        <v>45</v>
      </c>
      <c r="C332" s="5">
        <v>45462</v>
      </c>
      <c r="D332" s="3">
        <v>10406</v>
      </c>
      <c r="E332" s="4" t="s">
        <v>13</v>
      </c>
      <c r="F332" s="3">
        <v>44</v>
      </c>
      <c r="G332" s="3" t="s">
        <v>15</v>
      </c>
      <c r="H332" s="3" t="s">
        <v>20</v>
      </c>
      <c r="I332" s="3">
        <v>13</v>
      </c>
      <c r="J332" s="3">
        <v>7.77</v>
      </c>
      <c r="K332" s="3" t="s">
        <v>31</v>
      </c>
      <c r="L332" s="4" t="s">
        <v>29</v>
      </c>
      <c r="M332" s="3">
        <v>7.6</v>
      </c>
      <c r="N332" s="3" t="s">
        <v>26</v>
      </c>
    </row>
    <row r="333" spans="1:14" x14ac:dyDescent="0.25">
      <c r="A333" s="3">
        <v>2585</v>
      </c>
      <c r="B333" s="4" t="s">
        <v>42</v>
      </c>
      <c r="C333" s="5">
        <v>45636</v>
      </c>
      <c r="D333" s="3">
        <v>10402</v>
      </c>
      <c r="E333" s="4" t="s">
        <v>19</v>
      </c>
      <c r="F333" s="3">
        <v>22</v>
      </c>
      <c r="G333" s="3" t="s">
        <v>27</v>
      </c>
      <c r="H333" s="3" t="s">
        <v>14</v>
      </c>
      <c r="I333" s="3">
        <v>40</v>
      </c>
      <c r="J333" s="3">
        <v>4.92</v>
      </c>
      <c r="K333" s="3" t="s">
        <v>16</v>
      </c>
      <c r="L333" s="4" t="s">
        <v>22</v>
      </c>
      <c r="M333" s="3">
        <v>11</v>
      </c>
      <c r="N333" s="3" t="s">
        <v>26</v>
      </c>
    </row>
    <row r="334" spans="1:14" x14ac:dyDescent="0.25">
      <c r="A334" s="3">
        <v>2587</v>
      </c>
      <c r="B334" s="4" t="s">
        <v>38</v>
      </c>
      <c r="C334" s="5">
        <v>45525</v>
      </c>
      <c r="D334" s="3">
        <v>10004</v>
      </c>
      <c r="E334" s="4" t="s">
        <v>19</v>
      </c>
      <c r="F334" s="3">
        <v>54</v>
      </c>
      <c r="G334" s="3" t="s">
        <v>33</v>
      </c>
      <c r="H334" s="3" t="s">
        <v>14</v>
      </c>
      <c r="I334" s="3">
        <v>38</v>
      </c>
      <c r="J334" s="3">
        <v>12.06</v>
      </c>
      <c r="K334" s="3" t="s">
        <v>31</v>
      </c>
      <c r="L334" s="4" t="s">
        <v>22</v>
      </c>
      <c r="M334" s="3">
        <v>12.6</v>
      </c>
      <c r="N334" s="3" t="s">
        <v>30</v>
      </c>
    </row>
    <row r="335" spans="1:14" x14ac:dyDescent="0.25">
      <c r="A335" s="3">
        <v>2593</v>
      </c>
      <c r="B335" s="4" t="s">
        <v>47</v>
      </c>
      <c r="C335" s="5">
        <v>45498</v>
      </c>
      <c r="D335" s="3">
        <v>10496</v>
      </c>
      <c r="E335" s="4" t="s">
        <v>19</v>
      </c>
      <c r="F335" s="3">
        <v>42</v>
      </c>
      <c r="G335" s="3" t="s">
        <v>33</v>
      </c>
      <c r="H335" s="3" t="s">
        <v>25</v>
      </c>
      <c r="I335" s="3">
        <v>37</v>
      </c>
      <c r="J335" s="3">
        <v>9.08</v>
      </c>
      <c r="K335" s="3" t="s">
        <v>31</v>
      </c>
      <c r="L335" s="4" t="s">
        <v>29</v>
      </c>
      <c r="M335" s="3">
        <v>12.4</v>
      </c>
      <c r="N335" s="3" t="s">
        <v>26</v>
      </c>
    </row>
    <row r="336" spans="1:14" x14ac:dyDescent="0.25">
      <c r="A336" s="3">
        <v>2594</v>
      </c>
      <c r="B336" s="4" t="s">
        <v>48</v>
      </c>
      <c r="C336" s="5">
        <v>45294</v>
      </c>
      <c r="D336" s="3">
        <v>10441</v>
      </c>
      <c r="E336" s="4" t="s">
        <v>19</v>
      </c>
      <c r="F336" s="3">
        <v>32</v>
      </c>
      <c r="G336" s="3" t="s">
        <v>21</v>
      </c>
      <c r="H336" s="3" t="s">
        <v>21</v>
      </c>
      <c r="I336" s="3">
        <v>41</v>
      </c>
      <c r="J336" s="3">
        <v>13.26</v>
      </c>
      <c r="K336" s="3" t="s">
        <v>16</v>
      </c>
      <c r="L336" s="4" t="s">
        <v>29</v>
      </c>
      <c r="M336" s="3">
        <v>11.2</v>
      </c>
      <c r="N336" s="3" t="s">
        <v>26</v>
      </c>
    </row>
    <row r="337" spans="1:22" x14ac:dyDescent="0.25">
      <c r="A337" s="3">
        <v>2603</v>
      </c>
      <c r="B337" s="4" t="s">
        <v>39</v>
      </c>
      <c r="C337" s="5">
        <v>45415</v>
      </c>
      <c r="D337" s="3">
        <v>10176</v>
      </c>
      <c r="E337" s="4" t="s">
        <v>13</v>
      </c>
      <c r="F337" s="3">
        <v>51</v>
      </c>
      <c r="G337" s="3" t="s">
        <v>34</v>
      </c>
      <c r="H337" s="3" t="s">
        <v>21</v>
      </c>
      <c r="I337" s="3">
        <v>57</v>
      </c>
      <c r="J337" s="3">
        <v>13.2</v>
      </c>
      <c r="K337" s="3" t="s">
        <v>31</v>
      </c>
      <c r="L337" s="4" t="s">
        <v>22</v>
      </c>
      <c r="M337" s="3">
        <v>16.399999999999999</v>
      </c>
      <c r="N337" s="3" t="s">
        <v>23</v>
      </c>
    </row>
    <row r="338" spans="1:22" x14ac:dyDescent="0.25">
      <c r="A338" s="3">
        <v>2604</v>
      </c>
      <c r="B338" s="4" t="s">
        <v>44</v>
      </c>
      <c r="C338" s="5">
        <v>45571</v>
      </c>
      <c r="D338" s="3">
        <v>10017</v>
      </c>
      <c r="E338" s="4" t="s">
        <v>13</v>
      </c>
      <c r="F338" s="3">
        <v>31</v>
      </c>
      <c r="G338" s="3" t="s">
        <v>24</v>
      </c>
      <c r="H338" s="3" t="s">
        <v>34</v>
      </c>
      <c r="I338" s="3">
        <v>36</v>
      </c>
      <c r="J338" s="3">
        <v>14.6</v>
      </c>
      <c r="K338" s="3" t="s">
        <v>16</v>
      </c>
      <c r="L338" s="4" t="s">
        <v>29</v>
      </c>
      <c r="M338" s="3">
        <v>10.199999999999999</v>
      </c>
      <c r="N338" s="3" t="s">
        <v>30</v>
      </c>
    </row>
    <row r="339" spans="1:22" x14ac:dyDescent="0.25">
      <c r="A339" s="3">
        <v>2605</v>
      </c>
      <c r="B339" s="4" t="s">
        <v>48</v>
      </c>
      <c r="C339" s="5">
        <v>45312</v>
      </c>
      <c r="D339" s="3">
        <v>10107</v>
      </c>
      <c r="E339" s="4" t="s">
        <v>13</v>
      </c>
      <c r="F339" s="3">
        <v>45</v>
      </c>
      <c r="G339" s="3" t="s">
        <v>20</v>
      </c>
      <c r="H339" s="3" t="s">
        <v>21</v>
      </c>
      <c r="I339" s="3">
        <v>14</v>
      </c>
      <c r="J339" s="3">
        <v>2.37</v>
      </c>
      <c r="K339" s="3" t="s">
        <v>31</v>
      </c>
      <c r="L339" s="4" t="s">
        <v>29</v>
      </c>
      <c r="M339" s="3">
        <v>7.8</v>
      </c>
      <c r="N339" s="3" t="s">
        <v>18</v>
      </c>
    </row>
    <row r="340" spans="1:22" x14ac:dyDescent="0.25">
      <c r="A340" s="3">
        <v>2606</v>
      </c>
      <c r="B340" s="4" t="s">
        <v>43</v>
      </c>
      <c r="C340" s="5">
        <v>45555</v>
      </c>
      <c r="D340" s="3">
        <v>10199</v>
      </c>
      <c r="E340" s="4" t="s">
        <v>19</v>
      </c>
      <c r="F340" s="3">
        <v>52</v>
      </c>
      <c r="G340" s="3" t="s">
        <v>24</v>
      </c>
      <c r="H340" s="3" t="s">
        <v>14</v>
      </c>
      <c r="I340" s="3">
        <v>35</v>
      </c>
      <c r="J340" s="3">
        <v>7.82</v>
      </c>
      <c r="K340" s="3" t="s">
        <v>31</v>
      </c>
      <c r="L340" s="4" t="s">
        <v>29</v>
      </c>
      <c r="M340" s="3">
        <v>12</v>
      </c>
      <c r="N340" s="3" t="s">
        <v>26</v>
      </c>
    </row>
    <row r="341" spans="1:22" x14ac:dyDescent="0.25">
      <c r="A341" s="3">
        <v>2608</v>
      </c>
      <c r="B341" s="4" t="s">
        <v>38</v>
      </c>
      <c r="C341" s="5">
        <v>45512</v>
      </c>
      <c r="D341" s="3">
        <v>10311</v>
      </c>
      <c r="E341" s="4" t="s">
        <v>19</v>
      </c>
      <c r="F341" s="3">
        <v>37</v>
      </c>
      <c r="G341" s="3" t="s">
        <v>28</v>
      </c>
      <c r="H341" s="3" t="s">
        <v>27</v>
      </c>
      <c r="I341" s="3">
        <v>45</v>
      </c>
      <c r="J341" s="3">
        <v>1.39</v>
      </c>
      <c r="K341" s="3" t="s">
        <v>31</v>
      </c>
      <c r="L341" s="4" t="s">
        <v>29</v>
      </c>
      <c r="M341" s="3">
        <v>14</v>
      </c>
      <c r="N341" s="3" t="s">
        <v>26</v>
      </c>
    </row>
    <row r="342" spans="1:22" x14ac:dyDescent="0.25">
      <c r="A342" s="3">
        <v>2609</v>
      </c>
      <c r="B342" s="4" t="s">
        <v>39</v>
      </c>
      <c r="C342" s="5">
        <v>45415</v>
      </c>
      <c r="D342" s="3">
        <v>10333</v>
      </c>
      <c r="E342" s="4" t="s">
        <v>19</v>
      </c>
      <c r="F342" s="3">
        <v>31</v>
      </c>
      <c r="G342" s="3" t="s">
        <v>21</v>
      </c>
      <c r="H342" s="3" t="s">
        <v>32</v>
      </c>
      <c r="I342" s="3">
        <v>7</v>
      </c>
      <c r="J342" s="3">
        <v>3.81</v>
      </c>
      <c r="K342" s="3" t="s">
        <v>16</v>
      </c>
      <c r="L342" s="4" t="s">
        <v>17</v>
      </c>
      <c r="M342" s="3">
        <v>4.4000000000000004</v>
      </c>
      <c r="N342" s="3" t="s">
        <v>23</v>
      </c>
    </row>
    <row r="343" spans="1:22" x14ac:dyDescent="0.25">
      <c r="A343" s="3">
        <v>2611</v>
      </c>
      <c r="B343" s="4" t="s">
        <v>45</v>
      </c>
      <c r="C343" s="5">
        <v>45458</v>
      </c>
      <c r="D343" s="3">
        <v>10418</v>
      </c>
      <c r="E343" s="4" t="s">
        <v>19</v>
      </c>
      <c r="F343" s="3">
        <v>53</v>
      </c>
      <c r="G343" s="3" t="s">
        <v>34</v>
      </c>
      <c r="H343" s="3" t="s">
        <v>15</v>
      </c>
      <c r="I343" s="3">
        <v>29</v>
      </c>
      <c r="J343" s="3">
        <v>13.68</v>
      </c>
      <c r="K343" s="3" t="s">
        <v>31</v>
      </c>
      <c r="L343" s="4" t="s">
        <v>22</v>
      </c>
      <c r="M343" s="3">
        <v>10.8</v>
      </c>
      <c r="N343" s="3" t="s">
        <v>26</v>
      </c>
    </row>
    <row r="344" spans="1:22" x14ac:dyDescent="0.25">
      <c r="A344" s="3">
        <v>2613</v>
      </c>
      <c r="B344" s="4" t="s">
        <v>39</v>
      </c>
      <c r="C344" s="5">
        <v>45413</v>
      </c>
      <c r="D344" s="3">
        <v>10356</v>
      </c>
      <c r="E344" s="4" t="s">
        <v>13</v>
      </c>
      <c r="F344" s="3">
        <v>36</v>
      </c>
      <c r="G344" s="3" t="s">
        <v>27</v>
      </c>
      <c r="H344" s="3" t="s">
        <v>27</v>
      </c>
      <c r="I344" s="3">
        <v>26</v>
      </c>
      <c r="J344" s="3">
        <v>6.73</v>
      </c>
      <c r="K344" s="3" t="s">
        <v>16</v>
      </c>
      <c r="L344" s="4" t="s">
        <v>17</v>
      </c>
      <c r="M344" s="3">
        <v>8.1999999999999993</v>
      </c>
      <c r="N344" s="3" t="s">
        <v>26</v>
      </c>
    </row>
    <row r="345" spans="1:22" x14ac:dyDescent="0.25">
      <c r="A345" s="3">
        <v>2615</v>
      </c>
      <c r="B345" s="4" t="s">
        <v>38</v>
      </c>
      <c r="C345" s="5">
        <v>45510</v>
      </c>
      <c r="D345" s="3">
        <v>10119</v>
      </c>
      <c r="E345" s="4" t="s">
        <v>13</v>
      </c>
      <c r="F345" s="3">
        <v>34</v>
      </c>
      <c r="G345" s="3" t="s">
        <v>28</v>
      </c>
      <c r="H345" s="3" t="s">
        <v>21</v>
      </c>
      <c r="I345" s="3">
        <v>23</v>
      </c>
      <c r="J345" s="3">
        <v>14.41</v>
      </c>
      <c r="K345" s="3" t="s">
        <v>31</v>
      </c>
      <c r="L345" s="4" t="s">
        <v>17</v>
      </c>
      <c r="M345" s="3">
        <v>9.6</v>
      </c>
      <c r="N345" s="3" t="s">
        <v>18</v>
      </c>
    </row>
    <row r="346" spans="1:22" x14ac:dyDescent="0.25">
      <c r="A346" s="3">
        <v>2617</v>
      </c>
      <c r="B346" s="4" t="s">
        <v>37</v>
      </c>
      <c r="C346" s="5">
        <v>45400</v>
      </c>
      <c r="D346" s="3">
        <v>10351</v>
      </c>
      <c r="E346" s="4" t="s">
        <v>19</v>
      </c>
      <c r="F346" s="3">
        <v>36</v>
      </c>
      <c r="G346" s="3" t="s">
        <v>28</v>
      </c>
      <c r="H346" s="3" t="s">
        <v>28</v>
      </c>
      <c r="I346" s="3">
        <v>56</v>
      </c>
      <c r="J346" s="3">
        <v>8.4499999999999993</v>
      </c>
      <c r="K346" s="3" t="s">
        <v>16</v>
      </c>
      <c r="L346" s="4" t="s">
        <v>22</v>
      </c>
      <c r="M346" s="3">
        <v>14.2</v>
      </c>
      <c r="N346" s="3" t="s">
        <v>18</v>
      </c>
    </row>
    <row r="347" spans="1:22" x14ac:dyDescent="0.25">
      <c r="A347"/>
      <c r="B347"/>
      <c r="C347"/>
      <c r="D347"/>
      <c r="E347"/>
      <c r="F347"/>
      <c r="G347"/>
      <c r="H347"/>
      <c r="I347"/>
      <c r="J347"/>
      <c r="K347"/>
      <c r="L347"/>
      <c r="M347"/>
      <c r="N347"/>
      <c r="O347"/>
      <c r="P347"/>
      <c r="Q347"/>
      <c r="R347"/>
      <c r="S347"/>
      <c r="T347"/>
      <c r="U347"/>
      <c r="V347"/>
    </row>
    <row r="348" spans="1:22" x14ac:dyDescent="0.25">
      <c r="A348"/>
      <c r="B348"/>
      <c r="C348"/>
      <c r="D348"/>
      <c r="E348"/>
      <c r="F348"/>
      <c r="G348"/>
      <c r="H348"/>
      <c r="I348"/>
      <c r="J348"/>
      <c r="K348"/>
      <c r="L348"/>
      <c r="M348"/>
      <c r="N348"/>
      <c r="O348"/>
      <c r="P348"/>
      <c r="Q348"/>
      <c r="R348"/>
      <c r="S348"/>
      <c r="T348"/>
      <c r="U348"/>
      <c r="V348"/>
    </row>
    <row r="349" spans="1:22" x14ac:dyDescent="0.25">
      <c r="A349"/>
      <c r="B349"/>
      <c r="C349"/>
      <c r="D349"/>
      <c r="E349"/>
      <c r="F349"/>
      <c r="G349"/>
      <c r="H349"/>
      <c r="I349"/>
      <c r="J349"/>
      <c r="K349"/>
      <c r="L349"/>
      <c r="M349"/>
      <c r="N349"/>
      <c r="O349"/>
      <c r="P349"/>
      <c r="Q349"/>
      <c r="R349"/>
      <c r="S349"/>
      <c r="T349"/>
      <c r="U349"/>
      <c r="V349"/>
    </row>
    <row r="350" spans="1:22" x14ac:dyDescent="0.25">
      <c r="A350"/>
      <c r="B350"/>
      <c r="C350"/>
      <c r="D350"/>
      <c r="E350"/>
      <c r="F350"/>
      <c r="G350"/>
      <c r="H350"/>
      <c r="I350"/>
      <c r="J350"/>
      <c r="K350"/>
      <c r="L350"/>
      <c r="M350"/>
      <c r="N350"/>
      <c r="O350"/>
      <c r="P350"/>
      <c r="Q350"/>
      <c r="R350"/>
      <c r="S350"/>
      <c r="T350"/>
      <c r="U350"/>
      <c r="V350"/>
    </row>
    <row r="351" spans="1:22" x14ac:dyDescent="0.25">
      <c r="A351"/>
      <c r="B351"/>
      <c r="C351"/>
      <c r="D351"/>
      <c r="E351"/>
      <c r="F351"/>
      <c r="G351"/>
      <c r="H351"/>
      <c r="I351"/>
      <c r="J351"/>
      <c r="K351"/>
      <c r="L351"/>
      <c r="M351"/>
      <c r="N351"/>
      <c r="O351"/>
      <c r="P351"/>
      <c r="Q351"/>
      <c r="R351"/>
      <c r="S351"/>
      <c r="T351"/>
      <c r="U351"/>
      <c r="V351"/>
    </row>
    <row r="352" spans="1:22" x14ac:dyDescent="0.25">
      <c r="A352"/>
      <c r="B352"/>
      <c r="C352"/>
      <c r="D352"/>
      <c r="E352"/>
      <c r="F352"/>
      <c r="G352"/>
      <c r="H352"/>
      <c r="I352"/>
      <c r="J352"/>
      <c r="K352"/>
      <c r="L352"/>
      <c r="M352"/>
      <c r="N352"/>
      <c r="O352"/>
      <c r="P352"/>
      <c r="Q352"/>
      <c r="R352"/>
      <c r="S352"/>
      <c r="T352"/>
      <c r="U352"/>
      <c r="V352"/>
    </row>
    <row r="353" spans="1:22" x14ac:dyDescent="0.25">
      <c r="A353"/>
      <c r="B353"/>
      <c r="C353"/>
      <c r="D353"/>
      <c r="E353"/>
      <c r="F353"/>
      <c r="G353"/>
      <c r="H353"/>
      <c r="I353"/>
      <c r="J353"/>
      <c r="K353"/>
      <c r="L353"/>
      <c r="M353"/>
      <c r="N353"/>
      <c r="O353"/>
      <c r="P353"/>
      <c r="Q353"/>
      <c r="R353"/>
      <c r="S353"/>
      <c r="T353"/>
      <c r="U353"/>
      <c r="V353"/>
    </row>
    <row r="354" spans="1:22" x14ac:dyDescent="0.25">
      <c r="A354"/>
      <c r="B354"/>
      <c r="C354"/>
      <c r="D354"/>
      <c r="E354"/>
      <c r="F354"/>
      <c r="G354"/>
      <c r="H354"/>
      <c r="I354"/>
      <c r="J354"/>
      <c r="K354"/>
      <c r="L354"/>
      <c r="M354"/>
      <c r="N354"/>
      <c r="O354"/>
      <c r="P354"/>
      <c r="Q354"/>
      <c r="R354"/>
      <c r="S354"/>
      <c r="T354"/>
      <c r="U354"/>
      <c r="V354"/>
    </row>
    <row r="355" spans="1:22" x14ac:dyDescent="0.25">
      <c r="A355"/>
      <c r="B355"/>
      <c r="C355"/>
      <c r="D355"/>
      <c r="E355"/>
      <c r="F355"/>
      <c r="G355"/>
      <c r="H355"/>
      <c r="I355"/>
      <c r="J355"/>
      <c r="K355"/>
      <c r="L355"/>
      <c r="M355"/>
      <c r="N355"/>
      <c r="O355"/>
      <c r="P355"/>
      <c r="Q355"/>
      <c r="R355"/>
      <c r="S355"/>
      <c r="T355"/>
      <c r="U355"/>
      <c r="V355"/>
    </row>
    <row r="356" spans="1:22" x14ac:dyDescent="0.25">
      <c r="A356"/>
      <c r="B356"/>
      <c r="C356"/>
      <c r="D356"/>
      <c r="E356"/>
      <c r="F356"/>
      <c r="G356"/>
      <c r="H356"/>
      <c r="I356"/>
      <c r="J356"/>
      <c r="K356"/>
      <c r="L356"/>
      <c r="M356"/>
      <c r="N356"/>
      <c r="O356"/>
      <c r="P356"/>
      <c r="Q356"/>
      <c r="R356"/>
      <c r="S356"/>
      <c r="T356"/>
      <c r="U356"/>
      <c r="V356"/>
    </row>
    <row r="357" spans="1:22" x14ac:dyDescent="0.25">
      <c r="A357"/>
      <c r="B357"/>
      <c r="C357"/>
      <c r="D357"/>
      <c r="E357"/>
      <c r="F357"/>
      <c r="G357"/>
      <c r="H357"/>
      <c r="I357"/>
      <c r="J357"/>
      <c r="K357"/>
      <c r="L357"/>
      <c r="M357"/>
      <c r="N357"/>
      <c r="O357"/>
      <c r="P357"/>
      <c r="Q357"/>
      <c r="R357"/>
      <c r="S357"/>
      <c r="T357"/>
      <c r="U357"/>
      <c r="V357"/>
    </row>
    <row r="358" spans="1:22" x14ac:dyDescent="0.25">
      <c r="A358"/>
      <c r="B358"/>
      <c r="C358"/>
      <c r="D358"/>
      <c r="E358"/>
      <c r="F358"/>
      <c r="G358"/>
      <c r="H358"/>
      <c r="I358"/>
      <c r="J358"/>
      <c r="K358"/>
      <c r="L358"/>
      <c r="M358"/>
      <c r="N358"/>
      <c r="O358"/>
      <c r="P358"/>
      <c r="Q358"/>
      <c r="R358"/>
      <c r="S358"/>
      <c r="T358"/>
      <c r="U358"/>
      <c r="V358"/>
    </row>
    <row r="359" spans="1:22" x14ac:dyDescent="0.25">
      <c r="A359"/>
      <c r="B359"/>
      <c r="C359"/>
      <c r="D359"/>
      <c r="E359"/>
      <c r="F359"/>
      <c r="G359"/>
      <c r="H359"/>
      <c r="I359"/>
      <c r="J359"/>
      <c r="K359"/>
      <c r="L359"/>
      <c r="M359"/>
      <c r="N359"/>
      <c r="O359"/>
      <c r="P359"/>
      <c r="Q359"/>
      <c r="R359"/>
      <c r="S359"/>
      <c r="T359"/>
      <c r="U359"/>
      <c r="V359"/>
    </row>
    <row r="360" spans="1:22" x14ac:dyDescent="0.25">
      <c r="A360"/>
      <c r="B360"/>
      <c r="C360"/>
      <c r="D360"/>
      <c r="E360"/>
      <c r="F360"/>
      <c r="G360"/>
      <c r="H360"/>
      <c r="I360"/>
      <c r="J360"/>
      <c r="K360"/>
      <c r="L360"/>
      <c r="M360"/>
      <c r="N360"/>
      <c r="O360"/>
      <c r="P360"/>
      <c r="Q360"/>
      <c r="R360"/>
      <c r="S360"/>
      <c r="T360"/>
      <c r="U360"/>
      <c r="V360"/>
    </row>
    <row r="361" spans="1:22" x14ac:dyDescent="0.25">
      <c r="A361"/>
      <c r="B361"/>
      <c r="C361"/>
      <c r="D361"/>
      <c r="E361"/>
      <c r="F361"/>
      <c r="G361"/>
      <c r="H361"/>
      <c r="I361"/>
      <c r="J361"/>
      <c r="K361"/>
      <c r="L361"/>
      <c r="M361"/>
      <c r="N361"/>
      <c r="O361"/>
      <c r="P361"/>
      <c r="Q361"/>
      <c r="R361"/>
      <c r="S361"/>
      <c r="T361"/>
      <c r="U361"/>
      <c r="V361"/>
    </row>
    <row r="362" spans="1:22" x14ac:dyDescent="0.25">
      <c r="A362"/>
      <c r="B362"/>
      <c r="C362"/>
      <c r="D362"/>
      <c r="E362"/>
      <c r="F362"/>
      <c r="G362"/>
      <c r="H362"/>
      <c r="I362"/>
      <c r="J362"/>
      <c r="K362"/>
      <c r="L362"/>
      <c r="M362"/>
      <c r="N362"/>
      <c r="O362"/>
      <c r="P362"/>
      <c r="Q362"/>
      <c r="R362"/>
      <c r="S362"/>
      <c r="T362"/>
      <c r="U362"/>
      <c r="V362"/>
    </row>
    <row r="363" spans="1:22" x14ac:dyDescent="0.25">
      <c r="A363"/>
      <c r="B363"/>
      <c r="C363"/>
      <c r="D363"/>
      <c r="E363"/>
      <c r="F363"/>
      <c r="G363"/>
      <c r="H363"/>
      <c r="I363"/>
      <c r="J363"/>
      <c r="K363"/>
      <c r="L363"/>
      <c r="M363"/>
      <c r="N363"/>
      <c r="O363"/>
      <c r="P363"/>
      <c r="Q363"/>
      <c r="R363"/>
      <c r="S363"/>
      <c r="T363"/>
      <c r="U363"/>
      <c r="V363"/>
    </row>
    <row r="364" spans="1:22" x14ac:dyDescent="0.25">
      <c r="A364"/>
      <c r="B364"/>
      <c r="C364"/>
      <c r="D364"/>
      <c r="E364"/>
      <c r="F364"/>
      <c r="G364"/>
      <c r="H364"/>
      <c r="I364"/>
      <c r="J364"/>
      <c r="K364"/>
      <c r="L364"/>
      <c r="M364"/>
      <c r="N364"/>
      <c r="O364"/>
      <c r="P364"/>
      <c r="Q364"/>
      <c r="R364"/>
      <c r="S364"/>
      <c r="T364"/>
      <c r="U364"/>
      <c r="V364"/>
    </row>
    <row r="365" spans="1:22" x14ac:dyDescent="0.25">
      <c r="A365"/>
      <c r="B365"/>
      <c r="C365"/>
      <c r="D365"/>
      <c r="E365"/>
      <c r="F365"/>
      <c r="G365"/>
      <c r="H365"/>
      <c r="I365"/>
      <c r="J365"/>
      <c r="K365"/>
      <c r="L365"/>
      <c r="M365"/>
      <c r="N365"/>
      <c r="O365"/>
      <c r="P365"/>
      <c r="Q365"/>
      <c r="R365"/>
      <c r="S365"/>
      <c r="T365"/>
      <c r="U365"/>
      <c r="V365"/>
    </row>
    <row r="366" spans="1:22" x14ac:dyDescent="0.25">
      <c r="A366"/>
      <c r="B366"/>
      <c r="C366"/>
      <c r="D366"/>
      <c r="E366"/>
      <c r="F366"/>
      <c r="G366"/>
      <c r="H366"/>
      <c r="I366"/>
      <c r="J366"/>
      <c r="K366"/>
      <c r="L366"/>
      <c r="M366"/>
      <c r="N366"/>
      <c r="O366"/>
      <c r="P366"/>
      <c r="Q366"/>
      <c r="R366"/>
      <c r="S366"/>
      <c r="T366"/>
      <c r="U366"/>
      <c r="V366"/>
    </row>
    <row r="367" spans="1:22" x14ac:dyDescent="0.25">
      <c r="A367"/>
      <c r="B367"/>
      <c r="C367"/>
      <c r="D367"/>
      <c r="E367"/>
      <c r="F367"/>
      <c r="G367"/>
      <c r="H367"/>
      <c r="I367"/>
      <c r="J367"/>
      <c r="K367"/>
      <c r="L367"/>
      <c r="M367"/>
      <c r="N367"/>
      <c r="O367"/>
      <c r="P367"/>
      <c r="Q367"/>
      <c r="R367"/>
      <c r="S367"/>
      <c r="T367"/>
      <c r="U367"/>
      <c r="V367"/>
    </row>
    <row r="368" spans="1:22" x14ac:dyDescent="0.25">
      <c r="A368"/>
      <c r="B368"/>
      <c r="C368"/>
      <c r="D368"/>
      <c r="E368"/>
      <c r="F368"/>
      <c r="G368"/>
      <c r="H368"/>
      <c r="I368"/>
      <c r="J368"/>
      <c r="K368"/>
      <c r="L368"/>
      <c r="M368"/>
      <c r="N368"/>
      <c r="O368"/>
      <c r="P368"/>
      <c r="Q368"/>
      <c r="R368"/>
      <c r="S368"/>
      <c r="T368"/>
      <c r="U368"/>
      <c r="V368"/>
    </row>
    <row r="369" spans="1:22" x14ac:dyDescent="0.25">
      <c r="A369"/>
      <c r="B369"/>
      <c r="C369"/>
      <c r="D369"/>
      <c r="E369"/>
      <c r="F369"/>
      <c r="G369"/>
      <c r="H369"/>
      <c r="I369"/>
      <c r="J369"/>
      <c r="K369"/>
      <c r="L369"/>
      <c r="M369"/>
      <c r="N369"/>
      <c r="O369"/>
      <c r="P369"/>
      <c r="Q369"/>
      <c r="R369"/>
      <c r="S369"/>
      <c r="T369"/>
      <c r="U369"/>
      <c r="V369"/>
    </row>
    <row r="370" spans="1:22" x14ac:dyDescent="0.25">
      <c r="A370"/>
      <c r="B370"/>
      <c r="C370"/>
      <c r="D370"/>
      <c r="E370"/>
      <c r="F370"/>
      <c r="G370"/>
      <c r="H370"/>
      <c r="I370"/>
      <c r="J370"/>
      <c r="K370"/>
      <c r="L370"/>
      <c r="M370"/>
      <c r="N370"/>
      <c r="O370"/>
      <c r="P370"/>
      <c r="Q370"/>
      <c r="R370"/>
      <c r="S370"/>
      <c r="T370"/>
      <c r="U370"/>
      <c r="V370"/>
    </row>
    <row r="371" spans="1:22" x14ac:dyDescent="0.25">
      <c r="A371"/>
      <c r="B371"/>
      <c r="C371"/>
      <c r="D371"/>
      <c r="E371"/>
      <c r="F371"/>
      <c r="G371"/>
      <c r="H371"/>
      <c r="I371"/>
      <c r="J371"/>
      <c r="K371"/>
      <c r="L371"/>
      <c r="M371"/>
      <c r="N371"/>
      <c r="O371"/>
      <c r="P371"/>
      <c r="Q371"/>
      <c r="R371"/>
      <c r="S371"/>
      <c r="T371"/>
      <c r="U371"/>
      <c r="V371"/>
    </row>
    <row r="372" spans="1:22" x14ac:dyDescent="0.25">
      <c r="A372"/>
      <c r="B372"/>
      <c r="C372"/>
      <c r="D372"/>
      <c r="E372"/>
      <c r="F372"/>
      <c r="G372"/>
      <c r="H372"/>
      <c r="I372"/>
      <c r="J372"/>
      <c r="K372"/>
      <c r="L372"/>
      <c r="M372"/>
      <c r="N372"/>
      <c r="O372"/>
      <c r="P372"/>
      <c r="Q372"/>
      <c r="R372"/>
      <c r="S372"/>
      <c r="T372"/>
      <c r="U372"/>
      <c r="V372"/>
    </row>
    <row r="373" spans="1:22" x14ac:dyDescent="0.25">
      <c r="A373"/>
      <c r="B373"/>
      <c r="C373"/>
      <c r="D373"/>
      <c r="E373"/>
      <c r="F373"/>
      <c r="G373"/>
      <c r="H373"/>
      <c r="I373"/>
      <c r="J373"/>
      <c r="K373"/>
      <c r="L373"/>
      <c r="M373"/>
      <c r="N373"/>
      <c r="O373"/>
      <c r="P373"/>
      <c r="Q373"/>
      <c r="R373"/>
      <c r="S373"/>
      <c r="T373"/>
      <c r="U373"/>
      <c r="V373"/>
    </row>
    <row r="374" spans="1:22" x14ac:dyDescent="0.25">
      <c r="A374"/>
      <c r="B374"/>
      <c r="C374"/>
      <c r="D374"/>
      <c r="E374"/>
      <c r="F374"/>
      <c r="G374"/>
      <c r="H374"/>
      <c r="I374"/>
      <c r="J374"/>
      <c r="K374"/>
      <c r="L374"/>
      <c r="M374"/>
      <c r="N374"/>
      <c r="O374"/>
      <c r="P374"/>
      <c r="Q374"/>
      <c r="R374"/>
      <c r="S374"/>
      <c r="T374"/>
      <c r="U374"/>
      <c r="V374"/>
    </row>
    <row r="375" spans="1:22" x14ac:dyDescent="0.25">
      <c r="A375"/>
      <c r="B375"/>
      <c r="C375"/>
      <c r="D375"/>
      <c r="E375"/>
      <c r="F375"/>
      <c r="G375"/>
      <c r="H375"/>
      <c r="I375"/>
      <c r="J375"/>
      <c r="K375"/>
      <c r="L375"/>
      <c r="M375"/>
      <c r="N375"/>
      <c r="O375"/>
      <c r="P375"/>
      <c r="Q375"/>
      <c r="R375"/>
      <c r="S375"/>
      <c r="T375"/>
      <c r="U375"/>
      <c r="V375"/>
    </row>
    <row r="376" spans="1:22" x14ac:dyDescent="0.25">
      <c r="A376"/>
      <c r="B376"/>
      <c r="C376"/>
      <c r="D376"/>
      <c r="E376"/>
      <c r="F376"/>
      <c r="G376"/>
      <c r="H376"/>
      <c r="I376"/>
      <c r="J376"/>
      <c r="K376"/>
      <c r="L376"/>
      <c r="M376"/>
      <c r="N376"/>
      <c r="O376"/>
      <c r="P376"/>
      <c r="Q376"/>
      <c r="R376"/>
      <c r="S376"/>
      <c r="T376"/>
      <c r="U376"/>
      <c r="V376"/>
    </row>
    <row r="377" spans="1:22" x14ac:dyDescent="0.25">
      <c r="A377"/>
      <c r="B377"/>
      <c r="C377"/>
      <c r="D377"/>
      <c r="E377"/>
      <c r="F377"/>
      <c r="G377"/>
      <c r="H377"/>
      <c r="I377"/>
      <c r="J377"/>
      <c r="K377"/>
      <c r="L377"/>
      <c r="M377"/>
      <c r="N377"/>
      <c r="O377"/>
      <c r="P377"/>
      <c r="Q377"/>
      <c r="R377"/>
      <c r="S377"/>
      <c r="T377"/>
      <c r="U377"/>
      <c r="V377"/>
    </row>
    <row r="378" spans="1:22" x14ac:dyDescent="0.25">
      <c r="A378"/>
      <c r="B378"/>
      <c r="C378"/>
      <c r="D378"/>
      <c r="E378"/>
      <c r="F378"/>
      <c r="G378"/>
      <c r="H378"/>
      <c r="I378"/>
      <c r="J378"/>
      <c r="K378"/>
      <c r="L378"/>
      <c r="M378"/>
      <c r="N378"/>
      <c r="O378"/>
      <c r="P378"/>
      <c r="Q378"/>
      <c r="R378"/>
      <c r="S378"/>
      <c r="T378"/>
      <c r="U378"/>
      <c r="V378"/>
    </row>
    <row r="379" spans="1:22" x14ac:dyDescent="0.25">
      <c r="A379"/>
      <c r="B379"/>
      <c r="C379"/>
      <c r="D379"/>
      <c r="E379"/>
      <c r="F379"/>
      <c r="G379"/>
      <c r="H379"/>
      <c r="I379"/>
      <c r="J379"/>
      <c r="K379"/>
      <c r="L379"/>
      <c r="M379"/>
      <c r="N379"/>
      <c r="O379"/>
      <c r="P379"/>
      <c r="Q379"/>
      <c r="R379"/>
      <c r="S379"/>
      <c r="T379"/>
      <c r="U379"/>
      <c r="V379"/>
    </row>
    <row r="380" spans="1:22" x14ac:dyDescent="0.25">
      <c r="A380"/>
      <c r="B380"/>
      <c r="C380"/>
      <c r="D380"/>
      <c r="E380"/>
      <c r="F380"/>
      <c r="G380"/>
      <c r="H380"/>
      <c r="I380"/>
      <c r="J380"/>
      <c r="K380"/>
      <c r="L380"/>
      <c r="M380"/>
      <c r="N380"/>
      <c r="O380"/>
      <c r="P380"/>
      <c r="Q380"/>
      <c r="R380"/>
      <c r="S380"/>
      <c r="T380"/>
      <c r="U380"/>
      <c r="V380"/>
    </row>
    <row r="381" spans="1:22" x14ac:dyDescent="0.25">
      <c r="A381"/>
      <c r="B381"/>
      <c r="C381"/>
      <c r="D381"/>
      <c r="E381"/>
      <c r="F381"/>
      <c r="G381"/>
      <c r="H381"/>
      <c r="I381"/>
      <c r="J381"/>
      <c r="K381"/>
      <c r="L381"/>
      <c r="M381"/>
      <c r="N381"/>
      <c r="O381"/>
      <c r="P381"/>
      <c r="Q381"/>
      <c r="R381"/>
      <c r="S381"/>
      <c r="T381"/>
      <c r="U381"/>
      <c r="V381"/>
    </row>
    <row r="382" spans="1:22" x14ac:dyDescent="0.25">
      <c r="A382"/>
      <c r="B382"/>
      <c r="C382"/>
      <c r="D382"/>
      <c r="E382"/>
      <c r="F382"/>
      <c r="G382"/>
      <c r="H382"/>
      <c r="I382"/>
      <c r="J382"/>
      <c r="K382"/>
      <c r="L382"/>
      <c r="M382"/>
      <c r="N382"/>
      <c r="O382"/>
      <c r="P382"/>
      <c r="Q382"/>
      <c r="R382"/>
      <c r="S382"/>
      <c r="T382"/>
      <c r="U382"/>
      <c r="V382"/>
    </row>
    <row r="383" spans="1:22" x14ac:dyDescent="0.25">
      <c r="A383"/>
      <c r="B383"/>
      <c r="C383"/>
      <c r="D383"/>
      <c r="E383"/>
      <c r="F383"/>
      <c r="G383"/>
      <c r="H383"/>
      <c r="I383"/>
      <c r="J383"/>
      <c r="K383"/>
      <c r="L383"/>
      <c r="M383"/>
      <c r="N383"/>
      <c r="O383"/>
      <c r="P383"/>
      <c r="Q383"/>
      <c r="R383"/>
      <c r="S383"/>
      <c r="T383"/>
      <c r="U383"/>
      <c r="V383"/>
    </row>
    <row r="384" spans="1:22" x14ac:dyDescent="0.25">
      <c r="A384"/>
      <c r="B384"/>
      <c r="C384"/>
      <c r="D384"/>
      <c r="E384"/>
      <c r="F384"/>
      <c r="G384"/>
      <c r="H384"/>
      <c r="I384"/>
      <c r="J384"/>
      <c r="K384"/>
      <c r="L384"/>
      <c r="M384"/>
      <c r="N384"/>
      <c r="O384"/>
      <c r="P384"/>
      <c r="Q384"/>
      <c r="R384"/>
      <c r="S384"/>
      <c r="T384"/>
      <c r="U384"/>
      <c r="V384"/>
    </row>
    <row r="385" spans="1:22" x14ac:dyDescent="0.25">
      <c r="A385"/>
      <c r="B385"/>
      <c r="C385"/>
      <c r="D385"/>
      <c r="E385"/>
      <c r="F385"/>
      <c r="G385"/>
      <c r="H385"/>
      <c r="I385"/>
      <c r="J385"/>
      <c r="K385"/>
      <c r="L385"/>
      <c r="M385"/>
      <c r="N385"/>
      <c r="O385"/>
      <c r="P385"/>
      <c r="Q385"/>
      <c r="R385"/>
      <c r="S385"/>
      <c r="T385"/>
      <c r="U385"/>
      <c r="V385"/>
    </row>
    <row r="386" spans="1:22" x14ac:dyDescent="0.25">
      <c r="A386"/>
      <c r="B386"/>
      <c r="C386"/>
      <c r="D386"/>
      <c r="E386"/>
      <c r="F386"/>
      <c r="G386"/>
      <c r="H386"/>
      <c r="I386"/>
      <c r="J386"/>
      <c r="K386"/>
      <c r="L386"/>
      <c r="M386"/>
      <c r="N386"/>
      <c r="O386"/>
      <c r="P386"/>
      <c r="Q386"/>
      <c r="R386"/>
      <c r="S386"/>
      <c r="T386"/>
      <c r="U386"/>
      <c r="V386"/>
    </row>
    <row r="387" spans="1:22" x14ac:dyDescent="0.25">
      <c r="A387"/>
      <c r="B387"/>
      <c r="C387"/>
      <c r="D387"/>
      <c r="E387"/>
      <c r="F387"/>
      <c r="G387"/>
      <c r="H387"/>
      <c r="I387"/>
      <c r="J387"/>
      <c r="K387"/>
      <c r="L387"/>
      <c r="M387"/>
      <c r="N387"/>
      <c r="O387"/>
      <c r="P387"/>
      <c r="Q387"/>
      <c r="R387"/>
      <c r="S387"/>
      <c r="T387"/>
      <c r="U387"/>
      <c r="V387"/>
    </row>
    <row r="388" spans="1:22" x14ac:dyDescent="0.25">
      <c r="A388"/>
      <c r="B388"/>
      <c r="C388"/>
      <c r="D388"/>
      <c r="E388"/>
      <c r="F388"/>
      <c r="G388"/>
      <c r="H388"/>
      <c r="I388"/>
      <c r="J388"/>
      <c r="K388"/>
      <c r="L388"/>
      <c r="M388"/>
      <c r="N388"/>
      <c r="O388"/>
      <c r="P388"/>
      <c r="Q388"/>
      <c r="R388"/>
      <c r="S388"/>
      <c r="T388"/>
      <c r="U388"/>
      <c r="V388"/>
    </row>
    <row r="389" spans="1:22" x14ac:dyDescent="0.25">
      <c r="A389"/>
      <c r="B389"/>
      <c r="C389"/>
      <c r="D389"/>
      <c r="E389"/>
      <c r="F389"/>
      <c r="G389"/>
      <c r="H389"/>
      <c r="I389"/>
      <c r="J389"/>
      <c r="K389"/>
      <c r="L389"/>
      <c r="M389"/>
      <c r="N389"/>
      <c r="O389"/>
      <c r="P389"/>
      <c r="Q389"/>
      <c r="R389"/>
      <c r="S389"/>
      <c r="T389"/>
      <c r="U389"/>
      <c r="V389"/>
    </row>
    <row r="390" spans="1:22" x14ac:dyDescent="0.25">
      <c r="A390"/>
      <c r="B390"/>
      <c r="C390"/>
      <c r="D390"/>
      <c r="E390"/>
      <c r="F390"/>
      <c r="G390"/>
      <c r="H390"/>
      <c r="I390"/>
      <c r="J390"/>
      <c r="K390"/>
      <c r="L390"/>
      <c r="M390"/>
      <c r="N390"/>
      <c r="O390"/>
      <c r="P390"/>
      <c r="Q390"/>
      <c r="R390"/>
      <c r="S390"/>
      <c r="T390"/>
      <c r="U390"/>
      <c r="V390"/>
    </row>
    <row r="391" spans="1:22" x14ac:dyDescent="0.25">
      <c r="A391"/>
      <c r="B391"/>
      <c r="C391"/>
      <c r="D391"/>
      <c r="E391"/>
      <c r="F391"/>
      <c r="G391"/>
      <c r="H391"/>
      <c r="I391"/>
      <c r="J391"/>
      <c r="K391"/>
      <c r="L391"/>
      <c r="M391"/>
      <c r="N391"/>
      <c r="O391"/>
      <c r="P391"/>
      <c r="Q391"/>
      <c r="R391"/>
      <c r="S391"/>
      <c r="T391"/>
      <c r="U391"/>
      <c r="V391"/>
    </row>
    <row r="392" spans="1:22" x14ac:dyDescent="0.25">
      <c r="A392"/>
      <c r="B392"/>
      <c r="C392"/>
      <c r="D392"/>
      <c r="E392"/>
      <c r="F392"/>
      <c r="G392"/>
      <c r="H392"/>
      <c r="I392"/>
      <c r="J392"/>
      <c r="K392"/>
      <c r="L392"/>
      <c r="M392"/>
      <c r="N392"/>
      <c r="O392"/>
      <c r="P392"/>
      <c r="Q392"/>
      <c r="R392"/>
      <c r="S392"/>
      <c r="T392"/>
      <c r="U392"/>
      <c r="V392"/>
    </row>
    <row r="393" spans="1:22" x14ac:dyDescent="0.25">
      <c r="A393"/>
      <c r="B393"/>
      <c r="C393"/>
      <c r="D393"/>
      <c r="E393"/>
      <c r="F393"/>
      <c r="G393"/>
      <c r="H393"/>
      <c r="I393"/>
      <c r="J393"/>
      <c r="K393"/>
      <c r="L393"/>
      <c r="M393"/>
      <c r="N393"/>
      <c r="O393"/>
      <c r="P393"/>
      <c r="Q393"/>
      <c r="R393"/>
      <c r="S393"/>
      <c r="T393"/>
      <c r="U393"/>
      <c r="V393"/>
    </row>
    <row r="394" spans="1:22" x14ac:dyDescent="0.25">
      <c r="A394"/>
      <c r="B394"/>
      <c r="C394"/>
      <c r="D394"/>
      <c r="E394"/>
      <c r="F394"/>
      <c r="G394"/>
      <c r="H394"/>
      <c r="I394"/>
      <c r="J394"/>
      <c r="K394"/>
      <c r="L394"/>
      <c r="M394"/>
      <c r="N394"/>
      <c r="O394"/>
      <c r="P394"/>
      <c r="Q394"/>
      <c r="R394"/>
      <c r="S394"/>
      <c r="T394"/>
      <c r="U394"/>
      <c r="V394"/>
    </row>
    <row r="395" spans="1:22" x14ac:dyDescent="0.25">
      <c r="A395"/>
      <c r="B395"/>
      <c r="C395"/>
      <c r="D395"/>
      <c r="E395"/>
      <c r="F395"/>
      <c r="G395"/>
      <c r="H395"/>
      <c r="I395"/>
      <c r="J395"/>
      <c r="K395"/>
      <c r="L395"/>
      <c r="M395"/>
      <c r="N395"/>
      <c r="O395"/>
      <c r="P395"/>
      <c r="Q395"/>
      <c r="R395"/>
      <c r="S395"/>
      <c r="T395"/>
      <c r="U395"/>
      <c r="V395"/>
    </row>
    <row r="396" spans="1:22" x14ac:dyDescent="0.25">
      <c r="A396"/>
      <c r="B396"/>
      <c r="C396"/>
      <c r="D396"/>
      <c r="E396"/>
      <c r="F396"/>
      <c r="G396"/>
      <c r="H396"/>
      <c r="I396"/>
      <c r="J396"/>
      <c r="K396"/>
      <c r="L396"/>
      <c r="M396"/>
      <c r="N396"/>
      <c r="O396"/>
      <c r="P396"/>
      <c r="Q396"/>
      <c r="R396"/>
      <c r="S396"/>
      <c r="T396"/>
      <c r="U396"/>
      <c r="V396"/>
    </row>
    <row r="397" spans="1:22" x14ac:dyDescent="0.25">
      <c r="A397"/>
      <c r="B397"/>
      <c r="C397"/>
      <c r="D397"/>
      <c r="E397"/>
      <c r="F397"/>
      <c r="G397"/>
      <c r="H397"/>
      <c r="I397"/>
      <c r="J397"/>
      <c r="K397"/>
      <c r="L397"/>
      <c r="M397"/>
      <c r="N397"/>
      <c r="O397"/>
      <c r="P397"/>
      <c r="Q397"/>
      <c r="R397"/>
      <c r="S397"/>
      <c r="T397"/>
      <c r="U397"/>
      <c r="V397"/>
    </row>
    <row r="398" spans="1:22" x14ac:dyDescent="0.25">
      <c r="A398"/>
      <c r="B398"/>
      <c r="C398"/>
      <c r="D398"/>
      <c r="E398"/>
      <c r="F398"/>
      <c r="G398"/>
      <c r="H398"/>
      <c r="I398"/>
      <c r="J398"/>
      <c r="K398"/>
      <c r="L398"/>
      <c r="M398"/>
      <c r="N398"/>
      <c r="O398"/>
      <c r="P398"/>
      <c r="Q398"/>
      <c r="R398"/>
      <c r="S398"/>
      <c r="T398"/>
      <c r="U398"/>
      <c r="V398"/>
    </row>
    <row r="399" spans="1:22" x14ac:dyDescent="0.25">
      <c r="A399"/>
      <c r="B399"/>
      <c r="C399"/>
      <c r="D399"/>
      <c r="E399"/>
      <c r="F399"/>
      <c r="G399"/>
      <c r="H399"/>
      <c r="I399"/>
      <c r="J399"/>
      <c r="K399"/>
      <c r="L399"/>
      <c r="M399"/>
      <c r="N399"/>
      <c r="O399"/>
      <c r="P399"/>
      <c r="Q399"/>
      <c r="R399"/>
      <c r="S399"/>
      <c r="T399"/>
      <c r="U399"/>
      <c r="V399"/>
    </row>
    <row r="400" spans="1:22" x14ac:dyDescent="0.25">
      <c r="A400"/>
      <c r="B400"/>
      <c r="C400"/>
      <c r="D400"/>
      <c r="E400"/>
      <c r="F400"/>
      <c r="G400"/>
      <c r="H400"/>
      <c r="I400"/>
      <c r="J400"/>
      <c r="K400"/>
      <c r="L400"/>
      <c r="M400"/>
      <c r="N400"/>
      <c r="O400"/>
      <c r="P400"/>
      <c r="Q400"/>
      <c r="R400"/>
      <c r="S400"/>
      <c r="T400"/>
      <c r="U400"/>
      <c r="V400"/>
    </row>
    <row r="401" spans="1:22" x14ac:dyDescent="0.25">
      <c r="A401"/>
      <c r="B401"/>
      <c r="C401"/>
      <c r="D401"/>
      <c r="E401"/>
      <c r="F401"/>
      <c r="G401"/>
      <c r="H401"/>
      <c r="I401"/>
      <c r="J401"/>
      <c r="K401"/>
      <c r="L401"/>
      <c r="M401"/>
      <c r="N401"/>
      <c r="O401"/>
      <c r="P401"/>
      <c r="Q401"/>
      <c r="R401"/>
      <c r="S401"/>
      <c r="T401"/>
      <c r="U401"/>
      <c r="V401"/>
    </row>
    <row r="402" spans="1:22" x14ac:dyDescent="0.25">
      <c r="A402"/>
      <c r="B402"/>
      <c r="C402"/>
      <c r="D402"/>
      <c r="E402"/>
      <c r="F402"/>
      <c r="G402"/>
      <c r="H402"/>
      <c r="I402"/>
      <c r="J402"/>
      <c r="K402"/>
      <c r="L402"/>
      <c r="M402"/>
      <c r="N402"/>
      <c r="O402"/>
      <c r="P402"/>
      <c r="Q402"/>
      <c r="R402"/>
      <c r="S402"/>
      <c r="T402"/>
      <c r="U402"/>
      <c r="V402"/>
    </row>
    <row r="403" spans="1:22" x14ac:dyDescent="0.25">
      <c r="A403"/>
      <c r="B403"/>
      <c r="C403"/>
      <c r="D403"/>
      <c r="E403"/>
      <c r="F403"/>
      <c r="G403"/>
      <c r="H403"/>
      <c r="I403"/>
      <c r="J403"/>
      <c r="K403"/>
      <c r="L403"/>
      <c r="M403"/>
      <c r="N403"/>
      <c r="O403"/>
      <c r="P403"/>
      <c r="Q403"/>
      <c r="R403"/>
      <c r="S403"/>
      <c r="T403"/>
      <c r="U403"/>
      <c r="V403"/>
    </row>
    <row r="404" spans="1:22" x14ac:dyDescent="0.25">
      <c r="A404"/>
      <c r="B404"/>
      <c r="C404"/>
      <c r="D404"/>
      <c r="E404"/>
      <c r="F404"/>
      <c r="G404"/>
      <c r="H404"/>
      <c r="I404"/>
      <c r="J404"/>
      <c r="K404"/>
      <c r="L404"/>
      <c r="M404"/>
      <c r="N404"/>
      <c r="O404"/>
      <c r="P404"/>
      <c r="Q404"/>
      <c r="R404"/>
      <c r="S404"/>
      <c r="T404"/>
      <c r="U404"/>
      <c r="V404"/>
    </row>
    <row r="405" spans="1:22" x14ac:dyDescent="0.25">
      <c r="A405"/>
      <c r="B405"/>
      <c r="C405"/>
      <c r="D405"/>
      <c r="E405"/>
      <c r="F405"/>
      <c r="G405"/>
      <c r="H405"/>
      <c r="I405"/>
      <c r="J405"/>
      <c r="K405"/>
      <c r="L405"/>
      <c r="M405"/>
      <c r="N405"/>
      <c r="O405"/>
      <c r="P405"/>
      <c r="Q405"/>
      <c r="R405"/>
      <c r="S405"/>
      <c r="T405"/>
      <c r="U405"/>
      <c r="V405"/>
    </row>
    <row r="406" spans="1:22" x14ac:dyDescent="0.25">
      <c r="A406"/>
      <c r="B406"/>
      <c r="C406"/>
      <c r="D406"/>
      <c r="E406"/>
      <c r="F406"/>
      <c r="G406"/>
      <c r="H406"/>
      <c r="I406"/>
      <c r="J406"/>
      <c r="K406"/>
      <c r="L406"/>
      <c r="M406"/>
      <c r="N406"/>
      <c r="O406"/>
      <c r="P406"/>
      <c r="Q406"/>
      <c r="R406"/>
      <c r="S406"/>
      <c r="T406"/>
      <c r="U406"/>
      <c r="V406"/>
    </row>
    <row r="407" spans="1:22" x14ac:dyDescent="0.25">
      <c r="A407"/>
      <c r="B407"/>
      <c r="C407"/>
      <c r="D407"/>
      <c r="E407"/>
      <c r="F407"/>
      <c r="G407"/>
      <c r="H407"/>
      <c r="I407"/>
      <c r="J407"/>
      <c r="K407"/>
      <c r="L407"/>
      <c r="M407"/>
      <c r="N407"/>
      <c r="O407"/>
      <c r="P407"/>
      <c r="Q407"/>
      <c r="R407"/>
      <c r="S407"/>
      <c r="T407"/>
      <c r="U407"/>
      <c r="V407"/>
    </row>
    <row r="408" spans="1:22" x14ac:dyDescent="0.25">
      <c r="A408"/>
      <c r="B408"/>
      <c r="C408"/>
      <c r="D408"/>
      <c r="E408"/>
      <c r="F408"/>
      <c r="G408"/>
      <c r="H408"/>
      <c r="I408"/>
      <c r="J408"/>
      <c r="K408"/>
      <c r="L408"/>
      <c r="M408"/>
      <c r="N408"/>
      <c r="O408"/>
      <c r="P408"/>
      <c r="Q408"/>
      <c r="R408"/>
      <c r="S408"/>
      <c r="T408"/>
      <c r="U408"/>
      <c r="V408"/>
    </row>
    <row r="409" spans="1:22" x14ac:dyDescent="0.25">
      <c r="A409"/>
      <c r="B409"/>
      <c r="C409"/>
      <c r="D409"/>
      <c r="E409"/>
      <c r="F409"/>
      <c r="G409"/>
      <c r="H409"/>
      <c r="I409"/>
      <c r="J409"/>
      <c r="K409"/>
      <c r="L409"/>
      <c r="M409"/>
      <c r="N409"/>
      <c r="O409"/>
      <c r="P409"/>
      <c r="Q409"/>
      <c r="R409"/>
      <c r="S409"/>
      <c r="T409"/>
      <c r="U409"/>
      <c r="V409"/>
    </row>
    <row r="410" spans="1:22" x14ac:dyDescent="0.25">
      <c r="A410"/>
      <c r="B410"/>
      <c r="C410"/>
      <c r="D410"/>
      <c r="E410"/>
      <c r="F410"/>
      <c r="G410"/>
      <c r="H410"/>
      <c r="I410"/>
      <c r="J410"/>
      <c r="K410"/>
      <c r="L410"/>
      <c r="M410"/>
      <c r="N410"/>
      <c r="O410"/>
      <c r="P410"/>
      <c r="Q410"/>
      <c r="R410"/>
      <c r="S410"/>
      <c r="T410"/>
      <c r="U410"/>
      <c r="V410"/>
    </row>
    <row r="411" spans="1:22" x14ac:dyDescent="0.25">
      <c r="A411"/>
      <c r="B411"/>
      <c r="C411"/>
      <c r="D411"/>
      <c r="E411"/>
      <c r="F411"/>
      <c r="G411"/>
      <c r="H411"/>
      <c r="I411"/>
      <c r="J411"/>
      <c r="K411"/>
      <c r="L411"/>
      <c r="M411"/>
      <c r="N411"/>
      <c r="O411"/>
      <c r="P411"/>
      <c r="Q411"/>
      <c r="R411"/>
      <c r="S411"/>
      <c r="T411"/>
      <c r="U411"/>
      <c r="V411"/>
    </row>
    <row r="412" spans="1:22" x14ac:dyDescent="0.25">
      <c r="A412"/>
      <c r="B412"/>
      <c r="C412"/>
      <c r="D412"/>
      <c r="E412"/>
      <c r="F412"/>
      <c r="G412"/>
      <c r="H412"/>
      <c r="I412"/>
      <c r="J412"/>
      <c r="K412"/>
      <c r="L412"/>
      <c r="M412"/>
      <c r="N412"/>
      <c r="O412"/>
      <c r="P412"/>
      <c r="Q412"/>
      <c r="R412"/>
      <c r="S412"/>
      <c r="T412"/>
      <c r="U412"/>
      <c r="V412"/>
    </row>
    <row r="413" spans="1:22" x14ac:dyDescent="0.25">
      <c r="A413"/>
      <c r="B413"/>
      <c r="C413"/>
      <c r="D413"/>
      <c r="E413"/>
      <c r="F413"/>
      <c r="G413"/>
      <c r="H413"/>
      <c r="I413"/>
      <c r="J413"/>
      <c r="K413"/>
      <c r="L413"/>
      <c r="M413"/>
      <c r="N413"/>
      <c r="O413"/>
      <c r="P413"/>
      <c r="Q413"/>
      <c r="R413"/>
      <c r="S413"/>
      <c r="T413"/>
      <c r="U413"/>
      <c r="V413"/>
    </row>
    <row r="414" spans="1:22" x14ac:dyDescent="0.25">
      <c r="A414"/>
      <c r="B414"/>
      <c r="C414"/>
      <c r="D414"/>
      <c r="E414"/>
      <c r="F414"/>
      <c r="G414"/>
      <c r="H414"/>
      <c r="I414"/>
      <c r="J414"/>
      <c r="K414"/>
      <c r="L414"/>
      <c r="M414"/>
      <c r="N414"/>
      <c r="O414"/>
      <c r="P414"/>
      <c r="Q414"/>
      <c r="R414"/>
      <c r="S414"/>
      <c r="T414"/>
      <c r="U414"/>
      <c r="V414"/>
    </row>
    <row r="415" spans="1:22" x14ac:dyDescent="0.25">
      <c r="A415"/>
      <c r="B415"/>
      <c r="C415"/>
      <c r="D415"/>
      <c r="E415"/>
      <c r="F415"/>
      <c r="G415"/>
      <c r="H415"/>
      <c r="I415"/>
      <c r="J415"/>
      <c r="K415"/>
      <c r="L415"/>
      <c r="M415"/>
      <c r="N415"/>
      <c r="O415"/>
      <c r="P415"/>
      <c r="Q415"/>
      <c r="R415"/>
      <c r="S415"/>
      <c r="T415"/>
      <c r="U415"/>
      <c r="V415"/>
    </row>
    <row r="416" spans="1:22" x14ac:dyDescent="0.25">
      <c r="A416"/>
      <c r="B416"/>
      <c r="C416"/>
      <c r="D416"/>
      <c r="E416"/>
      <c r="F416"/>
      <c r="G416"/>
      <c r="H416"/>
      <c r="I416"/>
      <c r="J416"/>
      <c r="K416"/>
      <c r="L416"/>
      <c r="M416"/>
      <c r="N416"/>
      <c r="O416"/>
      <c r="P416"/>
      <c r="Q416"/>
      <c r="R416"/>
      <c r="S416"/>
      <c r="T416"/>
      <c r="U416"/>
      <c r="V416"/>
    </row>
    <row r="417" spans="1:22" x14ac:dyDescent="0.25">
      <c r="A417"/>
      <c r="B417"/>
      <c r="C417"/>
      <c r="D417"/>
      <c r="E417"/>
      <c r="F417"/>
      <c r="G417"/>
      <c r="H417"/>
      <c r="I417"/>
      <c r="J417"/>
      <c r="K417"/>
      <c r="L417"/>
      <c r="M417"/>
      <c r="N417"/>
      <c r="O417"/>
      <c r="P417"/>
      <c r="Q417"/>
      <c r="R417"/>
      <c r="S417"/>
      <c r="T417"/>
      <c r="U417"/>
      <c r="V417"/>
    </row>
    <row r="418" spans="1:22" x14ac:dyDescent="0.25">
      <c r="A418"/>
      <c r="B418"/>
      <c r="C418"/>
      <c r="D418"/>
      <c r="E418"/>
      <c r="F418"/>
      <c r="G418"/>
      <c r="H418"/>
      <c r="I418"/>
      <c r="J418"/>
      <c r="K418"/>
      <c r="L418"/>
      <c r="M418"/>
      <c r="N418"/>
      <c r="O418"/>
      <c r="P418"/>
      <c r="Q418"/>
      <c r="R418"/>
      <c r="S418"/>
      <c r="T418"/>
      <c r="U418"/>
      <c r="V418"/>
    </row>
    <row r="419" spans="1:22" x14ac:dyDescent="0.25">
      <c r="A419"/>
      <c r="B419"/>
      <c r="C419"/>
      <c r="D419"/>
      <c r="E419"/>
      <c r="F419"/>
      <c r="G419"/>
      <c r="H419"/>
      <c r="I419"/>
      <c r="J419"/>
      <c r="K419"/>
      <c r="L419"/>
      <c r="M419"/>
      <c r="N419"/>
      <c r="O419"/>
      <c r="P419"/>
      <c r="Q419"/>
      <c r="R419"/>
      <c r="S419"/>
      <c r="T419"/>
      <c r="U419"/>
      <c r="V419"/>
    </row>
    <row r="420" spans="1:22" x14ac:dyDescent="0.25">
      <c r="A420"/>
      <c r="B420"/>
      <c r="C420"/>
      <c r="D420"/>
      <c r="E420"/>
      <c r="F420"/>
      <c r="G420"/>
      <c r="H420"/>
      <c r="I420"/>
      <c r="J420"/>
      <c r="K420"/>
      <c r="L420"/>
      <c r="M420"/>
      <c r="N420"/>
      <c r="O420"/>
      <c r="P420"/>
      <c r="Q420"/>
      <c r="R420"/>
      <c r="S420"/>
      <c r="T420"/>
      <c r="U420"/>
      <c r="V420"/>
    </row>
    <row r="421" spans="1:22" x14ac:dyDescent="0.25">
      <c r="A421"/>
      <c r="B421"/>
      <c r="C421"/>
      <c r="D421"/>
      <c r="E421"/>
      <c r="F421"/>
      <c r="G421"/>
      <c r="H421"/>
      <c r="I421"/>
      <c r="J421"/>
      <c r="K421"/>
      <c r="L421"/>
      <c r="M421"/>
      <c r="N421"/>
      <c r="O421"/>
      <c r="P421"/>
      <c r="Q421"/>
      <c r="R421"/>
      <c r="S421"/>
      <c r="T421"/>
      <c r="U421"/>
      <c r="V421"/>
    </row>
    <row r="422" spans="1:22" x14ac:dyDescent="0.25">
      <c r="A422"/>
      <c r="B422"/>
      <c r="C422"/>
      <c r="D422"/>
      <c r="E422"/>
      <c r="F422"/>
      <c r="G422"/>
      <c r="H422"/>
      <c r="I422"/>
      <c r="J422"/>
      <c r="K422"/>
      <c r="L422"/>
      <c r="M422"/>
      <c r="N422"/>
      <c r="O422"/>
      <c r="P422"/>
      <c r="Q422"/>
      <c r="R422"/>
      <c r="S422"/>
      <c r="T422"/>
      <c r="U422"/>
      <c r="V422"/>
    </row>
    <row r="423" spans="1:22" x14ac:dyDescent="0.25">
      <c r="A423"/>
      <c r="B423"/>
      <c r="C423"/>
      <c r="D423"/>
      <c r="E423"/>
      <c r="F423"/>
      <c r="G423"/>
      <c r="H423"/>
      <c r="I423"/>
      <c r="J423"/>
      <c r="K423"/>
      <c r="L423"/>
      <c r="M423"/>
      <c r="N423"/>
      <c r="O423"/>
      <c r="P423"/>
      <c r="Q423"/>
      <c r="R423"/>
      <c r="S423"/>
      <c r="T423"/>
      <c r="U423"/>
      <c r="V423"/>
    </row>
    <row r="424" spans="1:22" x14ac:dyDescent="0.25">
      <c r="A424"/>
      <c r="B424"/>
      <c r="C424"/>
      <c r="D424"/>
      <c r="E424"/>
      <c r="F424"/>
      <c r="G424"/>
      <c r="H424"/>
      <c r="I424"/>
      <c r="J424"/>
      <c r="K424"/>
      <c r="L424"/>
      <c r="M424"/>
      <c r="N424"/>
      <c r="O424"/>
      <c r="P424"/>
      <c r="Q424"/>
      <c r="R424"/>
      <c r="S424"/>
      <c r="T424"/>
      <c r="U424"/>
      <c r="V424"/>
    </row>
    <row r="425" spans="1:22" x14ac:dyDescent="0.25">
      <c r="A425"/>
      <c r="B425"/>
      <c r="C425"/>
      <c r="D425"/>
      <c r="E425"/>
      <c r="F425"/>
      <c r="G425"/>
      <c r="H425"/>
      <c r="I425"/>
      <c r="J425"/>
      <c r="K425"/>
      <c r="L425"/>
      <c r="M425"/>
      <c r="N425"/>
      <c r="O425"/>
      <c r="P425"/>
      <c r="Q425"/>
      <c r="R425"/>
      <c r="S425"/>
      <c r="T425"/>
      <c r="U425"/>
      <c r="V425"/>
    </row>
    <row r="426" spans="1:22" x14ac:dyDescent="0.25">
      <c r="A426"/>
      <c r="B426"/>
      <c r="C426"/>
      <c r="D426"/>
      <c r="E426"/>
      <c r="F426"/>
      <c r="G426"/>
      <c r="H426"/>
      <c r="I426"/>
      <c r="J426"/>
      <c r="K426"/>
      <c r="L426"/>
      <c r="M426"/>
      <c r="N426"/>
      <c r="O426"/>
      <c r="P426"/>
      <c r="Q426"/>
      <c r="R426"/>
      <c r="S426"/>
      <c r="T426"/>
      <c r="U426"/>
      <c r="V426"/>
    </row>
    <row r="427" spans="1:22" x14ac:dyDescent="0.25">
      <c r="A427"/>
      <c r="B427"/>
      <c r="C427"/>
      <c r="D427"/>
      <c r="E427"/>
      <c r="F427"/>
      <c r="G427"/>
      <c r="H427"/>
      <c r="I427"/>
      <c r="J427"/>
      <c r="K427"/>
      <c r="L427"/>
      <c r="M427"/>
      <c r="N427"/>
      <c r="O427"/>
      <c r="P427"/>
      <c r="Q427"/>
      <c r="R427"/>
      <c r="S427"/>
      <c r="T427"/>
      <c r="U427"/>
      <c r="V427"/>
    </row>
    <row r="428" spans="1:22" x14ac:dyDescent="0.25">
      <c r="A428"/>
      <c r="B428"/>
      <c r="C428"/>
      <c r="D428"/>
      <c r="E428"/>
      <c r="F428"/>
      <c r="G428"/>
      <c r="H428"/>
      <c r="I428"/>
      <c r="J428"/>
      <c r="K428"/>
      <c r="L428"/>
      <c r="M428"/>
      <c r="N428"/>
      <c r="O428"/>
      <c r="P428"/>
      <c r="Q428"/>
      <c r="R428"/>
      <c r="S428"/>
      <c r="T428"/>
      <c r="U428"/>
      <c r="V428"/>
    </row>
    <row r="429" spans="1:22" x14ac:dyDescent="0.25">
      <c r="A429"/>
      <c r="B429"/>
      <c r="C429"/>
      <c r="D429"/>
      <c r="E429"/>
      <c r="F429"/>
      <c r="G429"/>
      <c r="H429"/>
      <c r="I429"/>
      <c r="J429"/>
      <c r="K429"/>
      <c r="L429"/>
      <c r="M429"/>
      <c r="N429"/>
      <c r="O429"/>
      <c r="P429"/>
      <c r="Q429"/>
      <c r="R429"/>
      <c r="S429"/>
      <c r="T429"/>
      <c r="U429"/>
      <c r="V429"/>
    </row>
    <row r="430" spans="1:22" x14ac:dyDescent="0.25">
      <c r="A430"/>
      <c r="B430"/>
      <c r="C430"/>
      <c r="D430"/>
      <c r="E430"/>
      <c r="F430"/>
      <c r="G430"/>
      <c r="H430"/>
      <c r="I430"/>
      <c r="J430"/>
      <c r="K430"/>
      <c r="L430"/>
      <c r="M430"/>
      <c r="N430"/>
      <c r="O430"/>
      <c r="P430"/>
      <c r="Q430"/>
      <c r="R430"/>
      <c r="S430"/>
      <c r="T430"/>
      <c r="U430"/>
      <c r="V430"/>
    </row>
    <row r="431" spans="1:22" x14ac:dyDescent="0.25">
      <c r="A431"/>
      <c r="B431"/>
      <c r="C431"/>
      <c r="D431"/>
      <c r="E431"/>
      <c r="F431"/>
      <c r="G431"/>
      <c r="H431"/>
      <c r="I431"/>
      <c r="J431"/>
      <c r="K431"/>
      <c r="L431"/>
      <c r="M431"/>
      <c r="N431"/>
      <c r="O431"/>
      <c r="P431"/>
      <c r="Q431"/>
      <c r="R431"/>
      <c r="S431"/>
      <c r="T431"/>
      <c r="U431"/>
      <c r="V431"/>
    </row>
    <row r="432" spans="1:22" x14ac:dyDescent="0.25">
      <c r="A432"/>
      <c r="B432"/>
      <c r="C432"/>
      <c r="D432"/>
      <c r="E432"/>
      <c r="F432"/>
      <c r="G432"/>
      <c r="H432"/>
      <c r="I432"/>
      <c r="J432"/>
      <c r="K432"/>
      <c r="L432"/>
      <c r="M432"/>
      <c r="N432"/>
      <c r="O432"/>
      <c r="P432"/>
      <c r="Q432"/>
      <c r="R432"/>
      <c r="S432"/>
      <c r="T432"/>
      <c r="U432"/>
      <c r="V432"/>
    </row>
    <row r="433" spans="1:22" x14ac:dyDescent="0.25">
      <c r="A433"/>
      <c r="B433"/>
      <c r="C433"/>
      <c r="D433"/>
      <c r="E433"/>
      <c r="F433"/>
      <c r="G433"/>
      <c r="H433"/>
      <c r="I433"/>
      <c r="J433"/>
      <c r="K433"/>
      <c r="L433"/>
      <c r="M433"/>
      <c r="N433"/>
      <c r="O433"/>
      <c r="P433"/>
      <c r="Q433"/>
      <c r="R433"/>
      <c r="S433"/>
      <c r="T433"/>
      <c r="U433"/>
      <c r="V433"/>
    </row>
    <row r="434" spans="1:22" x14ac:dyDescent="0.25">
      <c r="A434"/>
      <c r="B434"/>
      <c r="C434"/>
      <c r="D434"/>
      <c r="E434"/>
      <c r="F434"/>
      <c r="G434"/>
      <c r="H434"/>
      <c r="I434"/>
      <c r="J434"/>
      <c r="K434"/>
      <c r="L434"/>
      <c r="M434"/>
      <c r="N434"/>
      <c r="O434"/>
      <c r="P434"/>
      <c r="Q434"/>
      <c r="R434"/>
      <c r="S434"/>
      <c r="T434"/>
      <c r="U434"/>
      <c r="V434"/>
    </row>
    <row r="435" spans="1:22" x14ac:dyDescent="0.25">
      <c r="A435"/>
      <c r="B435"/>
      <c r="C435"/>
      <c r="D435"/>
      <c r="E435"/>
      <c r="F435"/>
      <c r="G435"/>
      <c r="H435"/>
      <c r="I435"/>
      <c r="J435"/>
      <c r="K435"/>
      <c r="L435"/>
      <c r="M435"/>
      <c r="N435"/>
      <c r="O435"/>
      <c r="P435"/>
      <c r="Q435"/>
      <c r="R435"/>
      <c r="S435"/>
      <c r="T435"/>
      <c r="U435"/>
      <c r="V435"/>
    </row>
    <row r="436" spans="1:22" x14ac:dyDescent="0.25">
      <c r="A436"/>
      <c r="B436"/>
      <c r="C436"/>
      <c r="D436"/>
      <c r="E436"/>
      <c r="F436"/>
      <c r="G436"/>
      <c r="H436"/>
      <c r="I436"/>
      <c r="J436"/>
      <c r="K436"/>
      <c r="L436"/>
      <c r="M436"/>
      <c r="N436"/>
      <c r="O436"/>
      <c r="P436"/>
      <c r="Q436"/>
      <c r="R436"/>
      <c r="S436"/>
      <c r="T436"/>
      <c r="U436"/>
      <c r="V436"/>
    </row>
    <row r="437" spans="1:22" x14ac:dyDescent="0.25">
      <c r="A437"/>
      <c r="B437"/>
      <c r="C437"/>
      <c r="D437"/>
      <c r="E437"/>
      <c r="F437"/>
      <c r="G437"/>
      <c r="H437"/>
      <c r="I437"/>
      <c r="J437"/>
      <c r="K437"/>
      <c r="L437"/>
      <c r="M437"/>
      <c r="N437"/>
      <c r="O437"/>
      <c r="P437"/>
      <c r="Q437"/>
      <c r="R437"/>
      <c r="S437"/>
      <c r="T437"/>
      <c r="U437"/>
      <c r="V437"/>
    </row>
    <row r="438" spans="1:22" x14ac:dyDescent="0.25">
      <c r="A438"/>
      <c r="B438"/>
      <c r="C438"/>
      <c r="D438"/>
      <c r="E438"/>
      <c r="F438"/>
      <c r="G438"/>
      <c r="H438"/>
      <c r="I438"/>
      <c r="J438"/>
      <c r="K438"/>
      <c r="L438"/>
      <c r="M438"/>
      <c r="N438"/>
      <c r="O438"/>
      <c r="P438"/>
      <c r="Q438"/>
      <c r="R438"/>
      <c r="S438"/>
      <c r="T438"/>
      <c r="U438"/>
      <c r="V438"/>
    </row>
    <row r="439" spans="1:22" x14ac:dyDescent="0.25">
      <c r="A439"/>
      <c r="B439"/>
      <c r="C439"/>
      <c r="D439"/>
      <c r="E439"/>
      <c r="F439"/>
      <c r="G439"/>
      <c r="H439"/>
      <c r="I439"/>
      <c r="J439"/>
      <c r="K439"/>
      <c r="L439"/>
      <c r="M439"/>
      <c r="N439"/>
      <c r="O439"/>
      <c r="P439"/>
      <c r="Q439"/>
      <c r="R439"/>
      <c r="S439"/>
      <c r="T439"/>
      <c r="U439"/>
      <c r="V439"/>
    </row>
    <row r="440" spans="1:22" x14ac:dyDescent="0.25">
      <c r="A440"/>
      <c r="B440"/>
      <c r="C440"/>
      <c r="D440"/>
      <c r="E440"/>
      <c r="F440"/>
      <c r="G440"/>
      <c r="H440"/>
      <c r="I440"/>
      <c r="J440"/>
      <c r="K440"/>
      <c r="L440"/>
      <c r="M440"/>
      <c r="N440"/>
      <c r="O440"/>
      <c r="P440"/>
      <c r="Q440"/>
      <c r="R440"/>
      <c r="S440"/>
      <c r="T440"/>
      <c r="U440"/>
      <c r="V440"/>
    </row>
    <row r="441" spans="1:22" x14ac:dyDescent="0.25">
      <c r="A441"/>
      <c r="B441"/>
      <c r="C441"/>
      <c r="D441"/>
      <c r="E441"/>
      <c r="F441"/>
      <c r="G441"/>
      <c r="H441"/>
      <c r="I441"/>
      <c r="J441"/>
      <c r="K441"/>
      <c r="L441"/>
      <c r="M441"/>
      <c r="N441"/>
      <c r="O441"/>
      <c r="P441"/>
      <c r="Q441"/>
      <c r="R441"/>
      <c r="S441"/>
      <c r="T441"/>
      <c r="U441"/>
      <c r="V441"/>
    </row>
    <row r="442" spans="1:22" x14ac:dyDescent="0.25">
      <c r="A442"/>
      <c r="B442"/>
      <c r="C442"/>
      <c r="D442"/>
      <c r="E442"/>
      <c r="F442"/>
      <c r="G442"/>
      <c r="H442"/>
      <c r="I442"/>
      <c r="J442"/>
      <c r="K442"/>
      <c r="L442"/>
      <c r="M442"/>
      <c r="N442"/>
      <c r="O442"/>
      <c r="P442"/>
      <c r="Q442"/>
      <c r="R442"/>
      <c r="S442"/>
      <c r="T442"/>
      <c r="U442"/>
      <c r="V442"/>
    </row>
    <row r="443" spans="1:22" x14ac:dyDescent="0.25">
      <c r="A443"/>
      <c r="B443"/>
      <c r="C443"/>
      <c r="D443"/>
      <c r="E443"/>
      <c r="F443"/>
      <c r="G443"/>
      <c r="H443"/>
      <c r="I443"/>
      <c r="J443"/>
      <c r="K443"/>
      <c r="L443"/>
      <c r="M443"/>
      <c r="N443"/>
      <c r="O443"/>
      <c r="P443"/>
      <c r="Q443"/>
      <c r="R443"/>
      <c r="S443"/>
      <c r="T443"/>
      <c r="U443"/>
      <c r="V443"/>
    </row>
    <row r="444" spans="1:22" x14ac:dyDescent="0.25">
      <c r="A444"/>
      <c r="B444"/>
      <c r="C444"/>
      <c r="D444"/>
      <c r="E444"/>
      <c r="F444"/>
      <c r="G444"/>
      <c r="H444"/>
      <c r="I444"/>
      <c r="J444"/>
      <c r="K444"/>
      <c r="L444"/>
      <c r="M444"/>
      <c r="N444"/>
      <c r="O444"/>
      <c r="P444"/>
      <c r="Q444"/>
      <c r="R444"/>
      <c r="S444"/>
      <c r="T444"/>
      <c r="U444"/>
      <c r="V444"/>
    </row>
    <row r="445" spans="1:22" x14ac:dyDescent="0.25">
      <c r="A445"/>
      <c r="B445"/>
      <c r="C445"/>
      <c r="D445"/>
      <c r="E445"/>
      <c r="F445"/>
      <c r="G445"/>
      <c r="H445"/>
      <c r="I445"/>
      <c r="J445"/>
      <c r="K445"/>
      <c r="L445"/>
      <c r="M445"/>
      <c r="N445"/>
      <c r="O445"/>
      <c r="P445"/>
      <c r="Q445"/>
      <c r="R445"/>
      <c r="S445"/>
      <c r="T445"/>
      <c r="U445"/>
      <c r="V445"/>
    </row>
    <row r="446" spans="1:22" x14ac:dyDescent="0.25">
      <c r="A446"/>
      <c r="B446"/>
      <c r="C446"/>
      <c r="D446"/>
      <c r="E446"/>
      <c r="F446"/>
      <c r="G446"/>
      <c r="H446"/>
      <c r="I446"/>
      <c r="J446"/>
      <c r="K446"/>
      <c r="L446"/>
      <c r="M446"/>
      <c r="N446"/>
      <c r="O446"/>
      <c r="P446"/>
      <c r="Q446"/>
      <c r="R446"/>
      <c r="S446"/>
      <c r="T446"/>
      <c r="U446"/>
      <c r="V446"/>
    </row>
    <row r="447" spans="1:22" x14ac:dyDescent="0.25">
      <c r="A447"/>
      <c r="B447"/>
      <c r="C447"/>
      <c r="D447"/>
      <c r="E447"/>
      <c r="F447"/>
      <c r="G447"/>
      <c r="H447"/>
      <c r="I447"/>
      <c r="J447"/>
      <c r="K447"/>
      <c r="L447"/>
      <c r="M447"/>
      <c r="N447"/>
      <c r="O447"/>
      <c r="P447"/>
      <c r="Q447"/>
      <c r="R447"/>
      <c r="S447"/>
      <c r="T447"/>
      <c r="U447"/>
      <c r="V447"/>
    </row>
    <row r="448" spans="1:22" x14ac:dyDescent="0.25">
      <c r="A448"/>
      <c r="B448"/>
      <c r="C448"/>
      <c r="D448"/>
      <c r="E448"/>
      <c r="F448"/>
      <c r="G448"/>
      <c r="H448"/>
      <c r="I448"/>
      <c r="J448"/>
      <c r="K448"/>
      <c r="L448"/>
      <c r="M448"/>
      <c r="N448"/>
      <c r="O448"/>
      <c r="P448"/>
      <c r="Q448"/>
      <c r="R448"/>
      <c r="S448"/>
      <c r="T448"/>
      <c r="U448"/>
      <c r="V448"/>
    </row>
    <row r="449" spans="1:22" x14ac:dyDescent="0.25">
      <c r="A449"/>
      <c r="B449"/>
      <c r="C449"/>
      <c r="D449"/>
      <c r="E449"/>
      <c r="F449"/>
      <c r="G449"/>
      <c r="H449"/>
      <c r="I449"/>
      <c r="J449"/>
      <c r="K449"/>
      <c r="L449"/>
      <c r="M449"/>
      <c r="N449"/>
      <c r="O449"/>
      <c r="P449"/>
      <c r="Q449"/>
      <c r="R449"/>
      <c r="S449"/>
      <c r="T449"/>
      <c r="U449"/>
      <c r="V449"/>
    </row>
    <row r="450" spans="1:22" x14ac:dyDescent="0.25">
      <c r="A450"/>
      <c r="B450"/>
      <c r="C450"/>
      <c r="D450"/>
      <c r="E450"/>
      <c r="F450"/>
      <c r="G450"/>
      <c r="H450"/>
      <c r="I450"/>
      <c r="J450"/>
      <c r="K450"/>
      <c r="L450"/>
      <c r="M450"/>
      <c r="N450"/>
      <c r="O450"/>
      <c r="P450"/>
      <c r="Q450"/>
      <c r="R450"/>
      <c r="S450"/>
      <c r="T450"/>
      <c r="U450"/>
      <c r="V450"/>
    </row>
    <row r="451" spans="1:22" x14ac:dyDescent="0.25">
      <c r="A451"/>
      <c r="B451"/>
      <c r="C451"/>
      <c r="D451"/>
      <c r="E451"/>
      <c r="F451"/>
      <c r="G451"/>
      <c r="H451"/>
      <c r="I451"/>
      <c r="J451"/>
      <c r="K451"/>
      <c r="L451"/>
      <c r="M451"/>
      <c r="N451"/>
      <c r="O451"/>
      <c r="P451"/>
      <c r="Q451"/>
      <c r="R451"/>
      <c r="S451"/>
      <c r="T451"/>
      <c r="U451"/>
      <c r="V451"/>
    </row>
    <row r="452" spans="1:22" x14ac:dyDescent="0.25">
      <c r="A452"/>
      <c r="B452"/>
      <c r="C452"/>
      <c r="D452"/>
      <c r="E452"/>
      <c r="F452"/>
      <c r="G452"/>
      <c r="H452"/>
      <c r="I452"/>
      <c r="J452"/>
      <c r="K452"/>
      <c r="L452"/>
      <c r="M452"/>
      <c r="N452"/>
      <c r="O452"/>
      <c r="P452"/>
      <c r="Q452"/>
      <c r="R452"/>
      <c r="S452"/>
      <c r="T452"/>
      <c r="U452"/>
      <c r="V452"/>
    </row>
    <row r="453" spans="1:22" x14ac:dyDescent="0.25">
      <c r="A453"/>
      <c r="B453"/>
      <c r="C453"/>
      <c r="D453"/>
      <c r="E453"/>
      <c r="F453"/>
      <c r="G453"/>
      <c r="H453"/>
      <c r="I453"/>
      <c r="J453"/>
      <c r="K453"/>
      <c r="L453"/>
      <c r="M453"/>
      <c r="N453"/>
      <c r="O453"/>
      <c r="P453"/>
      <c r="Q453"/>
      <c r="R453"/>
      <c r="S453"/>
      <c r="T453"/>
      <c r="U453"/>
      <c r="V453"/>
    </row>
    <row r="454" spans="1:22" x14ac:dyDescent="0.25">
      <c r="A454"/>
      <c r="B454"/>
      <c r="C454"/>
      <c r="D454"/>
      <c r="E454"/>
      <c r="F454"/>
      <c r="G454"/>
      <c r="H454"/>
      <c r="I454"/>
      <c r="J454"/>
      <c r="K454"/>
      <c r="L454"/>
      <c r="M454"/>
      <c r="N454"/>
      <c r="O454"/>
      <c r="P454"/>
      <c r="Q454"/>
      <c r="R454"/>
      <c r="S454"/>
      <c r="T454"/>
      <c r="U454"/>
      <c r="V454"/>
    </row>
    <row r="455" spans="1:22" x14ac:dyDescent="0.25">
      <c r="A455"/>
      <c r="B455"/>
      <c r="C455"/>
      <c r="D455"/>
      <c r="E455"/>
      <c r="F455"/>
      <c r="G455"/>
      <c r="H455"/>
      <c r="I455"/>
      <c r="J455"/>
      <c r="K455"/>
      <c r="L455"/>
      <c r="M455"/>
      <c r="N455"/>
      <c r="O455"/>
      <c r="P455"/>
      <c r="Q455"/>
      <c r="R455"/>
      <c r="S455"/>
      <c r="T455"/>
      <c r="U455"/>
      <c r="V455"/>
    </row>
    <row r="456" spans="1:22" x14ac:dyDescent="0.25">
      <c r="A456"/>
      <c r="B456"/>
      <c r="C456"/>
      <c r="D456"/>
      <c r="E456"/>
      <c r="F456"/>
      <c r="G456"/>
      <c r="H456"/>
      <c r="I456"/>
      <c r="J456"/>
      <c r="K456"/>
      <c r="L456"/>
      <c r="M456"/>
      <c r="N456"/>
      <c r="O456"/>
      <c r="P456"/>
      <c r="Q456"/>
      <c r="R456"/>
      <c r="S456"/>
      <c r="T456"/>
      <c r="U456"/>
      <c r="V456"/>
    </row>
    <row r="457" spans="1:22" x14ac:dyDescent="0.25">
      <c r="A457"/>
      <c r="B457"/>
      <c r="C457"/>
      <c r="D457"/>
      <c r="E457"/>
      <c r="F457"/>
      <c r="G457"/>
      <c r="H457"/>
      <c r="I457"/>
      <c r="J457"/>
      <c r="K457"/>
      <c r="L457"/>
      <c r="M457"/>
      <c r="N457"/>
      <c r="O457"/>
      <c r="P457"/>
      <c r="Q457"/>
      <c r="R457"/>
      <c r="S457"/>
      <c r="T457"/>
      <c r="U457"/>
      <c r="V457"/>
    </row>
    <row r="458" spans="1:22" x14ac:dyDescent="0.25">
      <c r="A458"/>
      <c r="B458"/>
      <c r="C458"/>
      <c r="D458"/>
      <c r="E458"/>
      <c r="F458"/>
      <c r="G458"/>
      <c r="H458"/>
      <c r="I458"/>
      <c r="J458"/>
      <c r="K458"/>
      <c r="L458"/>
      <c r="M458"/>
      <c r="N458"/>
      <c r="O458"/>
      <c r="P458"/>
      <c r="Q458"/>
      <c r="R458"/>
      <c r="S458"/>
      <c r="T458"/>
      <c r="U458"/>
      <c r="V458"/>
    </row>
    <row r="459" spans="1:22" x14ac:dyDescent="0.25">
      <c r="A459"/>
      <c r="B459"/>
      <c r="C459"/>
      <c r="D459"/>
      <c r="E459"/>
      <c r="F459"/>
      <c r="G459"/>
      <c r="H459"/>
      <c r="I459"/>
      <c r="J459"/>
      <c r="K459"/>
      <c r="L459"/>
      <c r="M459"/>
      <c r="N459"/>
      <c r="O459"/>
      <c r="P459"/>
      <c r="Q459"/>
      <c r="R459"/>
      <c r="S459"/>
      <c r="T459"/>
      <c r="U459"/>
      <c r="V459"/>
    </row>
    <row r="460" spans="1:22" x14ac:dyDescent="0.25">
      <c r="A460"/>
      <c r="B460"/>
      <c r="C460"/>
      <c r="D460"/>
      <c r="E460"/>
      <c r="F460"/>
      <c r="G460"/>
      <c r="H460"/>
      <c r="I460"/>
      <c r="J460"/>
      <c r="K460"/>
      <c r="L460"/>
      <c r="M460"/>
      <c r="N460"/>
      <c r="O460"/>
      <c r="P460"/>
      <c r="Q460"/>
      <c r="R460"/>
      <c r="S460"/>
      <c r="T460"/>
      <c r="U460"/>
      <c r="V460"/>
    </row>
    <row r="461" spans="1:22" x14ac:dyDescent="0.25">
      <c r="A461"/>
      <c r="B461"/>
      <c r="C461"/>
      <c r="D461"/>
      <c r="E461"/>
      <c r="F461"/>
      <c r="G461"/>
      <c r="H461"/>
      <c r="I461"/>
      <c r="J461"/>
      <c r="K461"/>
      <c r="L461"/>
      <c r="M461"/>
      <c r="N461"/>
      <c r="O461"/>
      <c r="P461"/>
      <c r="Q461"/>
      <c r="R461"/>
      <c r="S461"/>
      <c r="T461"/>
      <c r="U461"/>
      <c r="V461"/>
    </row>
    <row r="462" spans="1:22" x14ac:dyDescent="0.25">
      <c r="A462"/>
      <c r="B462"/>
      <c r="C462"/>
      <c r="D462"/>
      <c r="E462"/>
      <c r="F462"/>
      <c r="G462"/>
      <c r="H462"/>
      <c r="I462"/>
      <c r="J462"/>
      <c r="K462"/>
      <c r="L462"/>
      <c r="M462"/>
      <c r="N462"/>
      <c r="O462"/>
      <c r="P462"/>
      <c r="Q462"/>
      <c r="R462"/>
      <c r="S462"/>
      <c r="T462"/>
      <c r="U462"/>
      <c r="V462"/>
    </row>
    <row r="463" spans="1:22" x14ac:dyDescent="0.25">
      <c r="A463"/>
      <c r="B463"/>
      <c r="C463"/>
      <c r="D463"/>
      <c r="E463"/>
      <c r="F463"/>
      <c r="G463"/>
      <c r="H463"/>
      <c r="I463"/>
      <c r="J463"/>
      <c r="K463"/>
      <c r="L463"/>
      <c r="M463"/>
      <c r="N463"/>
      <c r="O463"/>
      <c r="P463"/>
      <c r="Q463"/>
      <c r="R463"/>
      <c r="S463"/>
      <c r="T463"/>
      <c r="U463"/>
      <c r="V463"/>
    </row>
    <row r="464" spans="1:22" x14ac:dyDescent="0.25">
      <c r="A464"/>
      <c r="B464"/>
      <c r="C464"/>
      <c r="D464"/>
      <c r="E464"/>
      <c r="F464"/>
      <c r="G464"/>
      <c r="H464"/>
      <c r="I464"/>
      <c r="J464"/>
      <c r="K464"/>
      <c r="L464"/>
      <c r="M464"/>
      <c r="N464"/>
      <c r="O464"/>
      <c r="P464"/>
      <c r="Q464"/>
      <c r="R464"/>
      <c r="S464"/>
      <c r="T464"/>
      <c r="U464"/>
      <c r="V464"/>
    </row>
    <row r="465" spans="1:22" x14ac:dyDescent="0.25">
      <c r="A465"/>
      <c r="B465"/>
      <c r="C465"/>
      <c r="D465"/>
      <c r="E465"/>
      <c r="F465"/>
      <c r="G465"/>
      <c r="H465"/>
      <c r="I465"/>
      <c r="J465"/>
      <c r="K465"/>
      <c r="L465"/>
      <c r="M465"/>
      <c r="N465"/>
      <c r="O465"/>
      <c r="P465"/>
      <c r="Q465"/>
      <c r="R465"/>
      <c r="S465"/>
      <c r="T465"/>
      <c r="U465"/>
      <c r="V465"/>
    </row>
    <row r="466" spans="1:22" x14ac:dyDescent="0.25">
      <c r="A466"/>
      <c r="B466"/>
      <c r="C466"/>
      <c r="D466"/>
      <c r="E466"/>
      <c r="F466"/>
      <c r="G466"/>
      <c r="H466"/>
      <c r="I466"/>
      <c r="J466"/>
      <c r="K466"/>
      <c r="L466"/>
      <c r="M466"/>
      <c r="N466"/>
      <c r="O466"/>
      <c r="P466"/>
      <c r="Q466"/>
      <c r="R466"/>
      <c r="S466"/>
      <c r="T466"/>
      <c r="U466"/>
      <c r="V466"/>
    </row>
    <row r="467" spans="1:22" x14ac:dyDescent="0.25">
      <c r="A467"/>
      <c r="B467"/>
      <c r="C467"/>
      <c r="D467"/>
      <c r="E467"/>
      <c r="F467"/>
      <c r="G467"/>
      <c r="H467"/>
      <c r="I467"/>
      <c r="J467"/>
      <c r="K467"/>
      <c r="L467"/>
      <c r="M467"/>
      <c r="N467"/>
      <c r="O467"/>
      <c r="P467"/>
      <c r="Q467"/>
      <c r="R467"/>
      <c r="S467"/>
      <c r="T467"/>
      <c r="U467"/>
      <c r="V467"/>
    </row>
    <row r="468" spans="1:22" x14ac:dyDescent="0.25">
      <c r="A468"/>
      <c r="B468"/>
      <c r="C468"/>
      <c r="D468"/>
      <c r="E468"/>
      <c r="F468"/>
      <c r="G468"/>
      <c r="H468"/>
      <c r="I468"/>
      <c r="J468"/>
      <c r="K468"/>
      <c r="L468"/>
      <c r="M468"/>
      <c r="N468"/>
      <c r="O468"/>
      <c r="P468"/>
      <c r="Q468"/>
      <c r="R468"/>
      <c r="S468"/>
      <c r="T468"/>
      <c r="U468"/>
      <c r="V468"/>
    </row>
    <row r="469" spans="1:22" x14ac:dyDescent="0.25">
      <c r="A469"/>
      <c r="B469"/>
      <c r="C469"/>
      <c r="D469"/>
      <c r="E469"/>
      <c r="F469"/>
      <c r="G469"/>
      <c r="H469"/>
      <c r="I469"/>
      <c r="J469"/>
      <c r="K469"/>
      <c r="L469"/>
      <c r="M469"/>
      <c r="N469"/>
      <c r="O469"/>
      <c r="P469"/>
      <c r="Q469"/>
      <c r="R469"/>
      <c r="S469"/>
      <c r="T469"/>
      <c r="U469"/>
      <c r="V469"/>
    </row>
    <row r="470" spans="1:22" x14ac:dyDescent="0.25">
      <c r="A470"/>
      <c r="B470"/>
      <c r="C470"/>
      <c r="D470"/>
      <c r="E470"/>
      <c r="F470"/>
      <c r="G470"/>
      <c r="H470"/>
      <c r="I470"/>
      <c r="J470"/>
      <c r="K470"/>
      <c r="L470"/>
      <c r="M470"/>
      <c r="N470"/>
      <c r="O470"/>
      <c r="P470"/>
      <c r="Q470"/>
      <c r="R470"/>
      <c r="S470"/>
      <c r="T470"/>
      <c r="U470"/>
      <c r="V470"/>
    </row>
    <row r="471" spans="1:22" x14ac:dyDescent="0.25">
      <c r="A471"/>
      <c r="B471"/>
      <c r="C471"/>
      <c r="D471"/>
      <c r="E471"/>
      <c r="F471"/>
      <c r="G471"/>
      <c r="H471"/>
      <c r="I471"/>
      <c r="J471"/>
      <c r="K471"/>
      <c r="L471"/>
      <c r="M471"/>
      <c r="N471"/>
      <c r="O471"/>
      <c r="P471"/>
      <c r="Q471"/>
      <c r="R471"/>
      <c r="S471"/>
      <c r="T471"/>
      <c r="U471"/>
      <c r="V471"/>
    </row>
    <row r="472" spans="1:22" x14ac:dyDescent="0.25">
      <c r="A472"/>
      <c r="B472"/>
      <c r="C472"/>
      <c r="D472"/>
      <c r="E472"/>
      <c r="F472"/>
      <c r="G472"/>
      <c r="H472"/>
      <c r="I472"/>
      <c r="J472"/>
      <c r="K472"/>
      <c r="L472"/>
      <c r="M472"/>
      <c r="N472"/>
      <c r="O472"/>
      <c r="P472"/>
      <c r="Q472"/>
      <c r="R472"/>
      <c r="S472"/>
      <c r="T472"/>
      <c r="U472"/>
      <c r="V472"/>
    </row>
    <row r="473" spans="1:22" x14ac:dyDescent="0.25">
      <c r="A473"/>
      <c r="B473"/>
      <c r="C473"/>
      <c r="D473"/>
      <c r="E473"/>
      <c r="F473"/>
      <c r="G473"/>
      <c r="H473"/>
      <c r="I473"/>
      <c r="J473"/>
      <c r="K473"/>
      <c r="L473"/>
      <c r="M473"/>
      <c r="N473"/>
      <c r="O473"/>
      <c r="P473"/>
      <c r="Q473"/>
      <c r="R473"/>
      <c r="S473"/>
      <c r="T473"/>
      <c r="U473"/>
      <c r="V473"/>
    </row>
    <row r="474" spans="1:22" x14ac:dyDescent="0.25">
      <c r="A474"/>
      <c r="B474"/>
      <c r="C474"/>
      <c r="D474"/>
      <c r="E474"/>
      <c r="F474"/>
      <c r="G474"/>
      <c r="H474"/>
      <c r="I474"/>
      <c r="J474"/>
      <c r="K474"/>
      <c r="L474"/>
      <c r="M474"/>
      <c r="N474"/>
      <c r="O474"/>
      <c r="P474"/>
      <c r="Q474"/>
      <c r="R474"/>
      <c r="S474"/>
      <c r="T474"/>
      <c r="U474"/>
      <c r="V474"/>
    </row>
    <row r="475" spans="1:22" x14ac:dyDescent="0.25">
      <c r="A475"/>
      <c r="B475"/>
      <c r="C475"/>
      <c r="D475"/>
      <c r="E475"/>
      <c r="F475"/>
      <c r="G475"/>
      <c r="H475"/>
      <c r="I475"/>
      <c r="J475"/>
      <c r="K475"/>
      <c r="L475"/>
      <c r="M475"/>
      <c r="N475"/>
      <c r="O475"/>
      <c r="P475"/>
      <c r="Q475"/>
      <c r="R475"/>
      <c r="S475"/>
      <c r="T475"/>
      <c r="U475"/>
      <c r="V475"/>
    </row>
    <row r="476" spans="1:22" x14ac:dyDescent="0.25">
      <c r="A476"/>
      <c r="B476"/>
      <c r="C476"/>
      <c r="D476"/>
      <c r="E476"/>
      <c r="F476"/>
      <c r="G476"/>
      <c r="H476"/>
      <c r="I476"/>
      <c r="J476"/>
      <c r="K476"/>
      <c r="L476"/>
      <c r="M476"/>
      <c r="N476"/>
      <c r="O476"/>
      <c r="P476"/>
      <c r="Q476"/>
      <c r="R476"/>
      <c r="S476"/>
      <c r="T476"/>
      <c r="U476"/>
      <c r="V476"/>
    </row>
    <row r="477" spans="1:22" x14ac:dyDescent="0.25">
      <c r="A477"/>
      <c r="B477"/>
      <c r="C477"/>
      <c r="D477"/>
      <c r="E477"/>
      <c r="F477"/>
      <c r="G477"/>
      <c r="H477"/>
      <c r="I477"/>
      <c r="J477"/>
      <c r="K477"/>
      <c r="L477"/>
      <c r="M477"/>
      <c r="N477"/>
      <c r="O477"/>
      <c r="P477"/>
      <c r="Q477"/>
      <c r="R477"/>
      <c r="S477"/>
      <c r="T477"/>
      <c r="U477"/>
      <c r="V477"/>
    </row>
    <row r="478" spans="1:22" x14ac:dyDescent="0.25">
      <c r="A478"/>
      <c r="B478"/>
      <c r="C478"/>
      <c r="D478"/>
      <c r="E478"/>
      <c r="F478"/>
      <c r="G478"/>
      <c r="H478"/>
      <c r="I478"/>
      <c r="J478"/>
      <c r="K478"/>
      <c r="L478"/>
      <c r="M478"/>
      <c r="N478"/>
      <c r="O478"/>
      <c r="P478"/>
      <c r="Q478"/>
      <c r="R478"/>
      <c r="S478"/>
      <c r="T478"/>
      <c r="U478"/>
      <c r="V478"/>
    </row>
    <row r="479" spans="1:22" x14ac:dyDescent="0.25">
      <c r="A479"/>
      <c r="B479"/>
      <c r="C479"/>
      <c r="D479"/>
      <c r="E479"/>
      <c r="F479"/>
      <c r="G479"/>
      <c r="H479"/>
      <c r="I479"/>
      <c r="J479"/>
      <c r="K479"/>
      <c r="L479"/>
      <c r="M479"/>
      <c r="N479"/>
      <c r="O479"/>
      <c r="P479"/>
      <c r="Q479"/>
      <c r="R479"/>
      <c r="S479"/>
      <c r="T479"/>
      <c r="U479"/>
      <c r="V479"/>
    </row>
    <row r="480" spans="1:22" x14ac:dyDescent="0.25">
      <c r="A480"/>
      <c r="B480"/>
      <c r="C480"/>
      <c r="D480"/>
      <c r="E480"/>
      <c r="F480"/>
      <c r="G480"/>
      <c r="H480"/>
      <c r="I480"/>
      <c r="J480"/>
      <c r="K480"/>
      <c r="L480"/>
      <c r="M480"/>
      <c r="N480"/>
      <c r="O480"/>
      <c r="P480"/>
      <c r="Q480"/>
      <c r="R480"/>
      <c r="S480"/>
      <c r="T480"/>
      <c r="U480"/>
      <c r="V480"/>
    </row>
    <row r="481" spans="1:22" x14ac:dyDescent="0.25">
      <c r="A481"/>
      <c r="B481"/>
      <c r="C481"/>
      <c r="D481"/>
      <c r="E481"/>
      <c r="F481"/>
      <c r="G481"/>
      <c r="H481"/>
      <c r="I481"/>
      <c r="J481"/>
      <c r="K481"/>
      <c r="L481"/>
      <c r="M481"/>
      <c r="N481"/>
      <c r="O481"/>
      <c r="P481"/>
      <c r="Q481"/>
      <c r="R481"/>
      <c r="S481"/>
      <c r="T481"/>
      <c r="U481"/>
      <c r="V481"/>
    </row>
    <row r="482" spans="1:22" x14ac:dyDescent="0.25">
      <c r="A482"/>
      <c r="B482"/>
      <c r="C482"/>
      <c r="D482"/>
      <c r="E482"/>
      <c r="F482"/>
      <c r="G482"/>
      <c r="H482"/>
      <c r="I482"/>
      <c r="J482"/>
      <c r="K482"/>
      <c r="L482"/>
      <c r="M482"/>
      <c r="N482"/>
      <c r="O482"/>
      <c r="P482"/>
      <c r="Q482"/>
      <c r="R482"/>
      <c r="S482"/>
      <c r="T482"/>
      <c r="U482"/>
      <c r="V482"/>
    </row>
    <row r="483" spans="1:22" x14ac:dyDescent="0.25">
      <c r="A483"/>
      <c r="B483"/>
      <c r="C483"/>
      <c r="D483"/>
      <c r="E483"/>
      <c r="F483"/>
      <c r="G483"/>
      <c r="H483"/>
      <c r="I483"/>
      <c r="J483"/>
      <c r="K483"/>
      <c r="L483"/>
      <c r="M483"/>
      <c r="N483"/>
      <c r="O483"/>
      <c r="P483"/>
      <c r="Q483"/>
      <c r="R483"/>
      <c r="S483"/>
      <c r="T483"/>
      <c r="U483"/>
      <c r="V483"/>
    </row>
    <row r="484" spans="1:22" x14ac:dyDescent="0.25">
      <c r="A484"/>
      <c r="B484"/>
      <c r="C484"/>
      <c r="D484"/>
      <c r="E484"/>
      <c r="F484"/>
      <c r="G484"/>
      <c r="H484"/>
      <c r="I484"/>
      <c r="J484"/>
      <c r="K484"/>
      <c r="L484"/>
      <c r="M484"/>
      <c r="N484"/>
      <c r="O484"/>
      <c r="P484"/>
      <c r="Q484"/>
      <c r="R484"/>
      <c r="S484"/>
      <c r="T484"/>
      <c r="U484"/>
      <c r="V484"/>
    </row>
    <row r="485" spans="1:22" x14ac:dyDescent="0.25">
      <c r="A485"/>
      <c r="B485"/>
      <c r="C485"/>
      <c r="D485"/>
      <c r="E485"/>
      <c r="F485"/>
      <c r="G485"/>
      <c r="H485"/>
      <c r="I485"/>
      <c r="J485"/>
      <c r="K485"/>
      <c r="L485"/>
      <c r="M485"/>
      <c r="N485"/>
      <c r="O485"/>
      <c r="P485"/>
      <c r="Q485"/>
      <c r="R485"/>
      <c r="S485"/>
      <c r="T485"/>
      <c r="U485"/>
      <c r="V485"/>
    </row>
    <row r="486" spans="1:22" x14ac:dyDescent="0.25">
      <c r="A486"/>
      <c r="B486"/>
      <c r="C486"/>
      <c r="D486"/>
      <c r="E486"/>
      <c r="F486"/>
      <c r="G486"/>
      <c r="H486"/>
      <c r="I486"/>
      <c r="J486"/>
      <c r="K486"/>
      <c r="L486"/>
      <c r="M486"/>
      <c r="N486"/>
      <c r="O486"/>
      <c r="P486"/>
      <c r="Q486"/>
      <c r="R486"/>
      <c r="S486"/>
      <c r="T486"/>
      <c r="U486"/>
      <c r="V486"/>
    </row>
    <row r="487" spans="1:22" x14ac:dyDescent="0.25">
      <c r="A487"/>
      <c r="B487"/>
      <c r="C487"/>
      <c r="D487"/>
      <c r="E487"/>
      <c r="F487"/>
      <c r="G487"/>
      <c r="H487"/>
      <c r="I487"/>
      <c r="J487"/>
      <c r="K487"/>
      <c r="L487"/>
      <c r="M487"/>
      <c r="N487"/>
      <c r="O487"/>
      <c r="P487"/>
      <c r="Q487"/>
      <c r="R487"/>
      <c r="S487"/>
      <c r="T487"/>
      <c r="U487"/>
      <c r="V487"/>
    </row>
    <row r="488" spans="1:22" x14ac:dyDescent="0.25">
      <c r="A488"/>
      <c r="B488"/>
      <c r="C488"/>
      <c r="D488"/>
      <c r="E488"/>
      <c r="F488"/>
      <c r="G488"/>
      <c r="H488"/>
      <c r="I488"/>
      <c r="J488"/>
      <c r="K488"/>
      <c r="L488"/>
      <c r="M488"/>
      <c r="N488"/>
      <c r="O488"/>
      <c r="P488"/>
      <c r="Q488"/>
      <c r="R488"/>
      <c r="S488"/>
      <c r="T488"/>
      <c r="U488"/>
      <c r="V488"/>
    </row>
    <row r="489" spans="1:22" x14ac:dyDescent="0.25">
      <c r="A489"/>
      <c r="B489"/>
      <c r="C489"/>
      <c r="D489"/>
      <c r="E489"/>
      <c r="F489"/>
      <c r="G489"/>
      <c r="H489"/>
      <c r="I489"/>
      <c r="J489"/>
      <c r="K489"/>
      <c r="L489"/>
      <c r="M489"/>
      <c r="N489"/>
      <c r="O489"/>
      <c r="P489"/>
      <c r="Q489"/>
      <c r="R489"/>
      <c r="S489"/>
      <c r="T489"/>
      <c r="U489"/>
      <c r="V489"/>
    </row>
    <row r="490" spans="1:22" x14ac:dyDescent="0.25">
      <c r="A490"/>
      <c r="B490"/>
      <c r="C490"/>
      <c r="D490"/>
      <c r="E490"/>
      <c r="F490"/>
      <c r="G490"/>
      <c r="H490"/>
      <c r="I490"/>
      <c r="J490"/>
      <c r="K490"/>
      <c r="L490"/>
      <c r="M490"/>
      <c r="N490"/>
      <c r="O490"/>
      <c r="P490"/>
      <c r="Q490"/>
      <c r="R490"/>
      <c r="S490"/>
      <c r="T490"/>
      <c r="U490"/>
      <c r="V490"/>
    </row>
    <row r="491" spans="1:22" x14ac:dyDescent="0.25">
      <c r="A491"/>
      <c r="B491"/>
      <c r="C491"/>
      <c r="D491"/>
      <c r="E491"/>
      <c r="F491"/>
      <c r="G491"/>
      <c r="H491"/>
      <c r="I491"/>
      <c r="J491"/>
      <c r="K491"/>
      <c r="L491"/>
      <c r="M491"/>
      <c r="N491"/>
      <c r="O491"/>
      <c r="P491"/>
      <c r="Q491"/>
      <c r="R491"/>
      <c r="S491"/>
      <c r="T491"/>
      <c r="U491"/>
      <c r="V491"/>
    </row>
    <row r="492" spans="1:22" x14ac:dyDescent="0.25">
      <c r="A492"/>
      <c r="B492"/>
      <c r="C492"/>
      <c r="D492"/>
      <c r="E492"/>
      <c r="F492"/>
      <c r="G492"/>
      <c r="H492"/>
      <c r="I492"/>
      <c r="J492"/>
      <c r="K492"/>
      <c r="L492"/>
      <c r="M492"/>
      <c r="N492"/>
      <c r="O492"/>
      <c r="P492"/>
      <c r="Q492"/>
      <c r="R492"/>
      <c r="S492"/>
      <c r="T492"/>
      <c r="U492"/>
      <c r="V492"/>
    </row>
    <row r="493" spans="1:22" x14ac:dyDescent="0.25">
      <c r="A493"/>
      <c r="B493"/>
      <c r="C493"/>
      <c r="D493"/>
      <c r="E493"/>
      <c r="F493"/>
      <c r="G493"/>
      <c r="H493"/>
      <c r="I493"/>
      <c r="J493"/>
      <c r="K493"/>
      <c r="L493"/>
      <c r="M493"/>
      <c r="N493"/>
      <c r="O493"/>
      <c r="P493"/>
      <c r="Q493"/>
      <c r="R493"/>
      <c r="S493"/>
      <c r="T493"/>
      <c r="U493"/>
      <c r="V493"/>
    </row>
    <row r="494" spans="1:22" x14ac:dyDescent="0.25">
      <c r="A494"/>
      <c r="B494"/>
      <c r="C494"/>
      <c r="D494"/>
      <c r="E494"/>
      <c r="F494"/>
      <c r="G494"/>
      <c r="H494"/>
      <c r="I494"/>
      <c r="J494"/>
      <c r="K494"/>
      <c r="L494"/>
      <c r="M494"/>
      <c r="N494"/>
      <c r="O494"/>
      <c r="P494"/>
      <c r="Q494"/>
      <c r="R494"/>
      <c r="S494"/>
      <c r="T494"/>
      <c r="U494"/>
      <c r="V494"/>
    </row>
    <row r="495" spans="1:22" x14ac:dyDescent="0.25">
      <c r="A495"/>
      <c r="B495"/>
      <c r="C495"/>
      <c r="D495"/>
      <c r="E495"/>
      <c r="F495"/>
      <c r="G495"/>
      <c r="H495"/>
      <c r="I495"/>
      <c r="J495"/>
      <c r="K495"/>
      <c r="L495"/>
      <c r="M495"/>
      <c r="N495"/>
      <c r="O495"/>
      <c r="P495"/>
      <c r="Q495"/>
      <c r="R495"/>
      <c r="S495"/>
      <c r="T495"/>
      <c r="U495"/>
      <c r="V495"/>
    </row>
    <row r="496" spans="1:22" x14ac:dyDescent="0.25">
      <c r="A496"/>
      <c r="B496"/>
      <c r="C496"/>
      <c r="D496"/>
      <c r="E496"/>
      <c r="F496"/>
      <c r="G496"/>
      <c r="H496"/>
      <c r="I496"/>
      <c r="J496"/>
      <c r="K496"/>
      <c r="L496"/>
      <c r="M496"/>
      <c r="N496"/>
      <c r="O496"/>
      <c r="P496"/>
      <c r="Q496"/>
      <c r="R496"/>
      <c r="S496"/>
      <c r="T496"/>
      <c r="U496"/>
      <c r="V496"/>
    </row>
    <row r="497" spans="1:22" x14ac:dyDescent="0.25">
      <c r="A497"/>
      <c r="B497"/>
      <c r="C497"/>
      <c r="D497"/>
      <c r="E497"/>
      <c r="F497"/>
      <c r="G497"/>
      <c r="H497"/>
      <c r="I497"/>
      <c r="J497"/>
      <c r="K497"/>
      <c r="L497"/>
      <c r="M497"/>
      <c r="N497"/>
      <c r="O497"/>
      <c r="P497"/>
      <c r="Q497"/>
      <c r="R497"/>
      <c r="S497"/>
      <c r="T497"/>
      <c r="U497"/>
      <c r="V497"/>
    </row>
    <row r="498" spans="1:22" x14ac:dyDescent="0.25">
      <c r="A498"/>
      <c r="B498"/>
      <c r="C498"/>
      <c r="D498"/>
      <c r="E498"/>
      <c r="F498"/>
      <c r="G498"/>
      <c r="H498"/>
      <c r="I498"/>
      <c r="J498"/>
      <c r="K498"/>
      <c r="L498"/>
      <c r="M498"/>
      <c r="N498"/>
      <c r="O498"/>
      <c r="P498"/>
      <c r="Q498"/>
      <c r="R498"/>
      <c r="S498"/>
      <c r="T498"/>
      <c r="U498"/>
      <c r="V498"/>
    </row>
    <row r="499" spans="1:22" x14ac:dyDescent="0.25">
      <c r="A499"/>
      <c r="B499"/>
      <c r="C499"/>
      <c r="D499"/>
      <c r="E499"/>
      <c r="F499"/>
      <c r="G499"/>
      <c r="H499"/>
      <c r="I499"/>
      <c r="J499"/>
      <c r="K499"/>
      <c r="L499"/>
      <c r="M499"/>
      <c r="N499"/>
      <c r="O499"/>
      <c r="P499"/>
      <c r="Q499"/>
      <c r="R499"/>
      <c r="S499"/>
      <c r="T499"/>
      <c r="U499"/>
      <c r="V499"/>
    </row>
    <row r="500" spans="1:22" x14ac:dyDescent="0.25">
      <c r="A500"/>
      <c r="B500"/>
      <c r="C500"/>
      <c r="D500"/>
      <c r="E500"/>
      <c r="F500"/>
      <c r="G500"/>
      <c r="H500"/>
      <c r="I500"/>
      <c r="J500"/>
      <c r="K500"/>
      <c r="L500"/>
      <c r="M500"/>
      <c r="N500"/>
      <c r="O500"/>
      <c r="P500"/>
      <c r="Q500"/>
      <c r="R500"/>
      <c r="S500"/>
      <c r="T500"/>
      <c r="U500"/>
      <c r="V500"/>
    </row>
    <row r="501" spans="1:22" x14ac:dyDescent="0.25">
      <c r="A501"/>
      <c r="B501"/>
      <c r="C501"/>
      <c r="D501"/>
      <c r="E501"/>
      <c r="F501"/>
      <c r="G501"/>
      <c r="H501"/>
      <c r="I501"/>
      <c r="J501"/>
      <c r="K501"/>
      <c r="L501"/>
      <c r="M501"/>
      <c r="N501"/>
      <c r="O501"/>
      <c r="P501"/>
      <c r="Q501"/>
      <c r="R501"/>
      <c r="S501"/>
      <c r="T501"/>
      <c r="U501"/>
      <c r="V501"/>
    </row>
    <row r="502" spans="1:22" x14ac:dyDescent="0.25">
      <c r="A502"/>
      <c r="B502"/>
      <c r="C502"/>
      <c r="D502"/>
      <c r="E502"/>
      <c r="F502"/>
      <c r="G502"/>
      <c r="H502"/>
      <c r="I502"/>
      <c r="J502"/>
      <c r="K502"/>
      <c r="L502"/>
      <c r="M502"/>
      <c r="N502"/>
      <c r="O502"/>
      <c r="P502"/>
      <c r="Q502"/>
      <c r="R502"/>
      <c r="S502"/>
      <c r="T502"/>
      <c r="U502"/>
      <c r="V502"/>
    </row>
    <row r="503" spans="1:22" x14ac:dyDescent="0.25">
      <c r="A503"/>
      <c r="B503"/>
      <c r="C503"/>
      <c r="D503"/>
      <c r="E503"/>
      <c r="F503"/>
      <c r="G503"/>
      <c r="H503"/>
      <c r="I503"/>
      <c r="J503"/>
      <c r="K503"/>
      <c r="L503"/>
      <c r="M503"/>
      <c r="N503"/>
      <c r="O503"/>
      <c r="P503"/>
      <c r="Q503"/>
      <c r="R503"/>
      <c r="S503"/>
      <c r="T503"/>
      <c r="U503"/>
      <c r="V503"/>
    </row>
    <row r="504" spans="1:22" x14ac:dyDescent="0.25">
      <c r="A504"/>
      <c r="B504"/>
      <c r="C504"/>
      <c r="D504"/>
      <c r="E504"/>
      <c r="F504"/>
      <c r="G504"/>
      <c r="H504"/>
      <c r="I504"/>
      <c r="J504"/>
      <c r="K504"/>
      <c r="L504"/>
      <c r="M504"/>
      <c r="N504"/>
      <c r="O504"/>
      <c r="P504"/>
      <c r="Q504"/>
      <c r="R504"/>
      <c r="S504"/>
      <c r="T504"/>
      <c r="U504"/>
      <c r="V504"/>
    </row>
    <row r="505" spans="1:22" x14ac:dyDescent="0.25">
      <c r="A505"/>
      <c r="B505"/>
      <c r="C505"/>
      <c r="D505"/>
      <c r="E505"/>
      <c r="F505"/>
      <c r="G505"/>
      <c r="H505"/>
      <c r="I505"/>
      <c r="J505"/>
      <c r="K505"/>
      <c r="L505"/>
      <c r="M505"/>
      <c r="N505"/>
      <c r="O505"/>
      <c r="P505"/>
      <c r="Q505"/>
      <c r="R505"/>
      <c r="S505"/>
      <c r="T505"/>
      <c r="U505"/>
      <c r="V505"/>
    </row>
    <row r="506" spans="1:22" x14ac:dyDescent="0.25">
      <c r="A506"/>
      <c r="B506"/>
      <c r="C506"/>
      <c r="D506"/>
      <c r="E506"/>
      <c r="F506"/>
      <c r="G506"/>
      <c r="H506"/>
      <c r="I506"/>
      <c r="J506"/>
      <c r="K506"/>
      <c r="L506"/>
      <c r="M506"/>
      <c r="N506"/>
      <c r="O506"/>
      <c r="P506"/>
      <c r="Q506"/>
      <c r="R506"/>
      <c r="S506"/>
      <c r="T506"/>
      <c r="U506"/>
      <c r="V506"/>
    </row>
    <row r="507" spans="1:22" x14ac:dyDescent="0.25">
      <c r="A507"/>
      <c r="B507"/>
      <c r="C507"/>
      <c r="D507"/>
      <c r="E507"/>
      <c r="F507"/>
      <c r="G507"/>
      <c r="H507"/>
      <c r="I507"/>
      <c r="J507"/>
      <c r="K507"/>
      <c r="L507"/>
      <c r="M507"/>
      <c r="N507"/>
      <c r="O507"/>
      <c r="P507"/>
      <c r="Q507"/>
      <c r="R507"/>
      <c r="S507"/>
      <c r="T507"/>
      <c r="U507"/>
      <c r="V507"/>
    </row>
    <row r="508" spans="1:22" x14ac:dyDescent="0.25">
      <c r="A508"/>
      <c r="B508"/>
      <c r="C508"/>
      <c r="D508"/>
      <c r="E508"/>
      <c r="F508"/>
      <c r="G508"/>
      <c r="H508"/>
      <c r="I508"/>
      <c r="J508"/>
      <c r="K508"/>
      <c r="L508"/>
      <c r="M508"/>
      <c r="N508"/>
      <c r="O508"/>
      <c r="P508"/>
      <c r="Q508"/>
      <c r="R508"/>
      <c r="S508"/>
      <c r="T508"/>
      <c r="U508"/>
      <c r="V508"/>
    </row>
    <row r="509" spans="1:22" x14ac:dyDescent="0.25">
      <c r="A509"/>
      <c r="B509"/>
      <c r="C509"/>
      <c r="D509"/>
      <c r="E509"/>
      <c r="F509"/>
      <c r="G509"/>
      <c r="H509"/>
      <c r="I509"/>
      <c r="J509"/>
      <c r="K509"/>
      <c r="L509"/>
      <c r="M509"/>
      <c r="N509"/>
      <c r="O509"/>
      <c r="P509"/>
      <c r="Q509"/>
      <c r="R509"/>
      <c r="S509"/>
      <c r="T509"/>
      <c r="U509"/>
      <c r="V509"/>
    </row>
    <row r="510" spans="1:22" x14ac:dyDescent="0.25">
      <c r="A510"/>
      <c r="B510"/>
      <c r="C510"/>
      <c r="D510"/>
      <c r="E510"/>
      <c r="F510"/>
      <c r="G510"/>
      <c r="H510"/>
      <c r="I510"/>
      <c r="J510"/>
      <c r="K510"/>
      <c r="L510"/>
      <c r="M510"/>
      <c r="N510"/>
      <c r="O510"/>
      <c r="P510"/>
      <c r="Q510"/>
      <c r="R510"/>
      <c r="S510"/>
      <c r="T510"/>
      <c r="U510"/>
      <c r="V510"/>
    </row>
    <row r="511" spans="1:22" x14ac:dyDescent="0.25">
      <c r="A511"/>
      <c r="B511"/>
      <c r="C511"/>
      <c r="D511"/>
      <c r="E511"/>
      <c r="F511"/>
      <c r="G511"/>
      <c r="H511"/>
      <c r="I511"/>
      <c r="J511"/>
      <c r="K511"/>
      <c r="L511"/>
      <c r="M511"/>
      <c r="N511"/>
      <c r="O511"/>
      <c r="P511"/>
      <c r="Q511"/>
      <c r="R511"/>
      <c r="S511"/>
      <c r="T511"/>
      <c r="U511"/>
      <c r="V511"/>
    </row>
    <row r="512" spans="1:22" x14ac:dyDescent="0.25">
      <c r="A512"/>
      <c r="B512"/>
      <c r="C512"/>
      <c r="D512"/>
      <c r="E512"/>
      <c r="F512"/>
      <c r="G512"/>
      <c r="H512"/>
      <c r="I512"/>
      <c r="J512"/>
      <c r="K512"/>
      <c r="L512"/>
      <c r="M512"/>
      <c r="N512"/>
      <c r="O512"/>
      <c r="P512"/>
      <c r="Q512"/>
      <c r="R512"/>
      <c r="S512"/>
      <c r="T512"/>
      <c r="U512"/>
      <c r="V512"/>
    </row>
    <row r="513" spans="1:22" x14ac:dyDescent="0.25">
      <c r="A513"/>
      <c r="B513"/>
      <c r="C513"/>
      <c r="D513"/>
      <c r="E513"/>
      <c r="F513"/>
      <c r="G513"/>
      <c r="H513"/>
      <c r="I513"/>
      <c r="J513"/>
      <c r="K513"/>
      <c r="L513"/>
      <c r="M513"/>
      <c r="N513"/>
      <c r="O513"/>
      <c r="P513"/>
      <c r="Q513"/>
      <c r="R513"/>
      <c r="S513"/>
      <c r="T513"/>
      <c r="U513"/>
      <c r="V513"/>
    </row>
    <row r="514" spans="1:22" x14ac:dyDescent="0.25">
      <c r="A514"/>
      <c r="B514"/>
      <c r="C514"/>
      <c r="D514"/>
      <c r="E514"/>
      <c r="F514"/>
      <c r="G514"/>
      <c r="H514"/>
      <c r="I514"/>
      <c r="J514"/>
      <c r="K514"/>
      <c r="L514"/>
      <c r="M514"/>
      <c r="N514"/>
      <c r="O514"/>
      <c r="P514"/>
      <c r="Q514"/>
      <c r="R514"/>
      <c r="S514"/>
      <c r="T514"/>
      <c r="U514"/>
      <c r="V514"/>
    </row>
    <row r="515" spans="1:22" x14ac:dyDescent="0.25">
      <c r="A515"/>
      <c r="B515"/>
      <c r="C515"/>
      <c r="D515"/>
      <c r="E515"/>
      <c r="F515"/>
      <c r="G515"/>
      <c r="H515"/>
      <c r="I515"/>
      <c r="J515"/>
      <c r="K515"/>
      <c r="L515"/>
      <c r="M515"/>
      <c r="N515"/>
      <c r="O515"/>
      <c r="P515"/>
      <c r="Q515"/>
      <c r="R515"/>
      <c r="S515"/>
      <c r="T515"/>
      <c r="U515"/>
      <c r="V515"/>
    </row>
    <row r="516" spans="1:22" x14ac:dyDescent="0.25">
      <c r="A516"/>
      <c r="B516"/>
      <c r="C516"/>
      <c r="D516"/>
      <c r="E516"/>
      <c r="F516"/>
      <c r="G516"/>
      <c r="H516"/>
      <c r="I516"/>
      <c r="J516"/>
      <c r="K516"/>
      <c r="L516"/>
      <c r="M516"/>
      <c r="N516"/>
      <c r="O516"/>
      <c r="P516"/>
      <c r="Q516"/>
      <c r="R516"/>
      <c r="S516"/>
      <c r="T516"/>
      <c r="U516"/>
      <c r="V516"/>
    </row>
    <row r="517" spans="1:22" x14ac:dyDescent="0.25">
      <c r="A517"/>
      <c r="B517"/>
      <c r="C517"/>
      <c r="D517"/>
      <c r="E517"/>
      <c r="F517"/>
      <c r="G517"/>
      <c r="H517"/>
      <c r="I517"/>
      <c r="J517"/>
      <c r="K517"/>
      <c r="L517"/>
      <c r="M517"/>
      <c r="N517"/>
      <c r="O517"/>
      <c r="P517"/>
      <c r="Q517"/>
      <c r="R517"/>
      <c r="S517"/>
      <c r="T517"/>
      <c r="U517"/>
      <c r="V517"/>
    </row>
    <row r="518" spans="1:22" x14ac:dyDescent="0.25">
      <c r="A518"/>
      <c r="B518"/>
      <c r="C518"/>
      <c r="D518"/>
      <c r="E518"/>
      <c r="F518"/>
      <c r="G518"/>
      <c r="H518"/>
      <c r="I518"/>
      <c r="J518"/>
      <c r="K518"/>
      <c r="L518"/>
      <c r="M518"/>
      <c r="N518"/>
      <c r="O518"/>
      <c r="P518"/>
      <c r="Q518"/>
      <c r="R518"/>
      <c r="S518"/>
      <c r="T518"/>
      <c r="U518"/>
      <c r="V518"/>
    </row>
    <row r="519" spans="1:22" x14ac:dyDescent="0.25">
      <c r="A519"/>
      <c r="B519"/>
      <c r="C519"/>
      <c r="D519"/>
      <c r="E519"/>
      <c r="F519"/>
      <c r="G519"/>
      <c r="H519"/>
      <c r="I519"/>
      <c r="J519"/>
      <c r="K519"/>
      <c r="L519"/>
      <c r="M519"/>
      <c r="N519"/>
      <c r="O519"/>
      <c r="P519"/>
      <c r="Q519"/>
      <c r="R519"/>
      <c r="S519"/>
      <c r="T519"/>
      <c r="U519"/>
      <c r="V519"/>
    </row>
    <row r="520" spans="1:22" x14ac:dyDescent="0.25">
      <c r="A520"/>
      <c r="B520"/>
      <c r="C520"/>
      <c r="D520"/>
      <c r="E520"/>
      <c r="F520"/>
      <c r="G520"/>
      <c r="H520"/>
      <c r="I520"/>
      <c r="J520"/>
      <c r="K520"/>
      <c r="L520"/>
      <c r="M520"/>
      <c r="N520"/>
      <c r="O520"/>
      <c r="P520"/>
      <c r="Q520"/>
      <c r="R520"/>
      <c r="S520"/>
      <c r="T520"/>
      <c r="U520"/>
      <c r="V520"/>
    </row>
    <row r="521" spans="1:22" x14ac:dyDescent="0.25">
      <c r="A521"/>
      <c r="B521"/>
      <c r="C521"/>
      <c r="D521"/>
      <c r="E521"/>
      <c r="F521"/>
      <c r="G521"/>
      <c r="H521"/>
      <c r="I521"/>
      <c r="J521"/>
      <c r="K521"/>
      <c r="L521"/>
      <c r="M521"/>
      <c r="N521"/>
      <c r="O521"/>
      <c r="P521"/>
      <c r="Q521"/>
      <c r="R521"/>
      <c r="S521"/>
      <c r="T521"/>
      <c r="U521"/>
      <c r="V521"/>
    </row>
    <row r="522" spans="1:22" x14ac:dyDescent="0.25">
      <c r="A522"/>
      <c r="B522"/>
      <c r="C522"/>
      <c r="D522"/>
      <c r="E522"/>
      <c r="F522"/>
      <c r="G522"/>
      <c r="H522"/>
      <c r="I522"/>
      <c r="J522"/>
      <c r="K522"/>
      <c r="L522"/>
      <c r="M522"/>
      <c r="N522"/>
      <c r="O522"/>
      <c r="P522"/>
      <c r="Q522"/>
      <c r="R522"/>
      <c r="S522"/>
      <c r="T522"/>
      <c r="U522"/>
      <c r="V522"/>
    </row>
    <row r="523" spans="1:22" x14ac:dyDescent="0.25">
      <c r="A523"/>
      <c r="B523"/>
      <c r="C523"/>
      <c r="D523"/>
      <c r="E523"/>
      <c r="F523"/>
      <c r="G523"/>
      <c r="H523"/>
      <c r="I523"/>
      <c r="J523"/>
      <c r="K523"/>
      <c r="L523"/>
      <c r="M523"/>
      <c r="N523"/>
      <c r="O523"/>
      <c r="P523"/>
      <c r="Q523"/>
      <c r="R523"/>
      <c r="S523"/>
      <c r="T523"/>
      <c r="U523"/>
      <c r="V523"/>
    </row>
    <row r="524" spans="1:22" x14ac:dyDescent="0.25">
      <c r="A524"/>
      <c r="B524"/>
      <c r="C524"/>
      <c r="D524"/>
      <c r="E524"/>
      <c r="F524"/>
      <c r="G524"/>
      <c r="H524"/>
      <c r="I524"/>
      <c r="J524"/>
      <c r="K524"/>
      <c r="L524"/>
      <c r="M524"/>
      <c r="N524"/>
      <c r="O524"/>
      <c r="P524"/>
      <c r="Q524"/>
      <c r="R524"/>
      <c r="S524"/>
      <c r="T524"/>
      <c r="U524"/>
      <c r="V524"/>
    </row>
    <row r="525" spans="1:22" x14ac:dyDescent="0.25">
      <c r="A525"/>
      <c r="B525"/>
      <c r="C525"/>
      <c r="D525"/>
      <c r="E525"/>
      <c r="F525"/>
      <c r="G525"/>
      <c r="H525"/>
      <c r="I525"/>
      <c r="J525"/>
      <c r="K525"/>
      <c r="L525"/>
      <c r="M525"/>
      <c r="N525"/>
      <c r="O525"/>
      <c r="P525"/>
      <c r="Q525"/>
      <c r="R525"/>
      <c r="S525"/>
      <c r="T525"/>
      <c r="U525"/>
      <c r="V525"/>
    </row>
    <row r="526" spans="1:22" x14ac:dyDescent="0.25">
      <c r="A526"/>
      <c r="B526"/>
      <c r="C526"/>
      <c r="D526"/>
      <c r="E526"/>
      <c r="F526"/>
      <c r="G526"/>
      <c r="H526"/>
      <c r="I526"/>
      <c r="J526"/>
      <c r="K526"/>
      <c r="L526"/>
      <c r="M526"/>
      <c r="N526"/>
      <c r="O526"/>
      <c r="P526"/>
      <c r="Q526"/>
      <c r="R526"/>
      <c r="S526"/>
      <c r="T526"/>
      <c r="U526"/>
      <c r="V526"/>
    </row>
    <row r="527" spans="1:22" x14ac:dyDescent="0.25">
      <c r="A527"/>
      <c r="B527"/>
      <c r="C527"/>
      <c r="D527"/>
      <c r="E527"/>
      <c r="F527"/>
      <c r="G527"/>
      <c r="H527"/>
      <c r="I527"/>
      <c r="J527"/>
      <c r="K527"/>
      <c r="L527"/>
      <c r="M527"/>
      <c r="N527"/>
      <c r="O527"/>
      <c r="P527"/>
      <c r="Q527"/>
      <c r="R527"/>
      <c r="S527"/>
      <c r="T527"/>
      <c r="U527"/>
      <c r="V527"/>
    </row>
    <row r="528" spans="1:22" x14ac:dyDescent="0.25">
      <c r="A528"/>
      <c r="B528"/>
      <c r="C528"/>
      <c r="D528"/>
      <c r="E528"/>
      <c r="F528"/>
      <c r="G528"/>
      <c r="H528"/>
      <c r="I528"/>
      <c r="J528"/>
      <c r="K528"/>
      <c r="L528"/>
      <c r="M528"/>
      <c r="N528"/>
      <c r="O528"/>
      <c r="P528"/>
      <c r="Q528"/>
      <c r="R528"/>
      <c r="S528"/>
      <c r="T528"/>
      <c r="U528"/>
      <c r="V528"/>
    </row>
    <row r="529" spans="1:22" x14ac:dyDescent="0.25">
      <c r="A529"/>
      <c r="B529"/>
      <c r="C529"/>
      <c r="D529"/>
      <c r="E529"/>
      <c r="F529"/>
      <c r="G529"/>
      <c r="H529"/>
      <c r="I529"/>
      <c r="J529"/>
      <c r="K529"/>
      <c r="L529"/>
      <c r="M529"/>
      <c r="N529"/>
      <c r="O529"/>
      <c r="P529"/>
      <c r="Q529"/>
      <c r="R529"/>
      <c r="S529"/>
      <c r="T529"/>
      <c r="U529"/>
      <c r="V529"/>
    </row>
    <row r="530" spans="1:22" x14ac:dyDescent="0.25">
      <c r="A530"/>
      <c r="B530"/>
      <c r="C530"/>
      <c r="D530"/>
      <c r="E530"/>
      <c r="F530"/>
      <c r="G530"/>
      <c r="H530"/>
      <c r="I530"/>
      <c r="J530"/>
      <c r="K530"/>
      <c r="L530"/>
      <c r="M530"/>
      <c r="N530"/>
      <c r="O530"/>
      <c r="P530"/>
      <c r="Q530"/>
      <c r="R530"/>
      <c r="S530"/>
      <c r="T530"/>
      <c r="U530"/>
      <c r="V530"/>
    </row>
    <row r="531" spans="1:22" x14ac:dyDescent="0.25">
      <c r="A531"/>
      <c r="B531"/>
      <c r="C531"/>
      <c r="D531"/>
      <c r="E531"/>
      <c r="F531"/>
      <c r="G531"/>
      <c r="H531"/>
      <c r="I531"/>
      <c r="J531"/>
      <c r="K531"/>
      <c r="L531"/>
      <c r="M531"/>
      <c r="N531"/>
      <c r="O531"/>
      <c r="P531"/>
      <c r="Q531"/>
      <c r="R531"/>
      <c r="S531"/>
      <c r="T531"/>
      <c r="U531"/>
      <c r="V531"/>
    </row>
    <row r="532" spans="1:22" x14ac:dyDescent="0.25">
      <c r="A532"/>
      <c r="B532"/>
      <c r="C532"/>
      <c r="D532"/>
      <c r="E532"/>
      <c r="F532"/>
      <c r="G532"/>
      <c r="H532"/>
      <c r="I532"/>
      <c r="J532"/>
      <c r="K532"/>
      <c r="L532"/>
      <c r="M532"/>
      <c r="N532"/>
      <c r="O532"/>
      <c r="P532"/>
      <c r="Q532"/>
      <c r="R532"/>
      <c r="S532"/>
      <c r="T532"/>
      <c r="U532"/>
      <c r="V532"/>
    </row>
    <row r="533" spans="1:22" x14ac:dyDescent="0.25">
      <c r="A533"/>
      <c r="B533"/>
      <c r="C533"/>
      <c r="D533"/>
      <c r="E533"/>
      <c r="F533"/>
      <c r="G533"/>
      <c r="H533"/>
      <c r="I533"/>
      <c r="J533"/>
      <c r="K533"/>
      <c r="L533"/>
      <c r="M533"/>
      <c r="N533"/>
      <c r="O533"/>
      <c r="P533"/>
      <c r="Q533"/>
      <c r="R533"/>
      <c r="S533"/>
      <c r="T533"/>
      <c r="U533"/>
      <c r="V533"/>
    </row>
    <row r="534" spans="1:22" x14ac:dyDescent="0.25">
      <c r="A534"/>
      <c r="B534"/>
      <c r="C534"/>
      <c r="D534"/>
      <c r="E534"/>
      <c r="F534"/>
      <c r="G534"/>
      <c r="H534"/>
      <c r="I534"/>
      <c r="J534"/>
      <c r="K534"/>
      <c r="L534"/>
      <c r="M534"/>
      <c r="N534"/>
      <c r="O534"/>
      <c r="P534"/>
      <c r="Q534"/>
      <c r="R534"/>
      <c r="S534"/>
      <c r="T534"/>
      <c r="U534"/>
      <c r="V534"/>
    </row>
    <row r="535" spans="1:22" x14ac:dyDescent="0.25">
      <c r="A535"/>
      <c r="B535"/>
      <c r="C535"/>
      <c r="D535"/>
      <c r="E535"/>
      <c r="F535"/>
      <c r="G535"/>
      <c r="H535"/>
      <c r="I535"/>
      <c r="J535"/>
      <c r="K535"/>
      <c r="L535"/>
      <c r="M535"/>
      <c r="N535"/>
      <c r="O535"/>
      <c r="P535"/>
      <c r="Q535"/>
      <c r="R535"/>
      <c r="S535"/>
      <c r="T535"/>
      <c r="U535"/>
      <c r="V535"/>
    </row>
    <row r="536" spans="1:22" x14ac:dyDescent="0.25">
      <c r="A536"/>
      <c r="B536"/>
      <c r="C536"/>
      <c r="D536"/>
      <c r="E536"/>
      <c r="F536"/>
      <c r="G536"/>
      <c r="H536"/>
      <c r="I536"/>
      <c r="J536"/>
      <c r="K536"/>
      <c r="L536"/>
      <c r="M536"/>
      <c r="N536"/>
      <c r="O536"/>
      <c r="P536"/>
      <c r="Q536"/>
      <c r="R536"/>
      <c r="S536"/>
      <c r="T536"/>
      <c r="U536"/>
      <c r="V536"/>
    </row>
    <row r="537" spans="1:22" x14ac:dyDescent="0.25">
      <c r="A537"/>
      <c r="B537"/>
      <c r="C537"/>
      <c r="D537"/>
      <c r="E537"/>
      <c r="F537"/>
      <c r="G537"/>
      <c r="H537"/>
      <c r="I537"/>
      <c r="J537"/>
      <c r="K537"/>
      <c r="L537"/>
      <c r="M537"/>
      <c r="N537"/>
      <c r="O537"/>
      <c r="P537"/>
      <c r="Q537"/>
      <c r="R537"/>
      <c r="S537"/>
      <c r="T537"/>
      <c r="U537"/>
      <c r="V537"/>
    </row>
    <row r="538" spans="1:22" x14ac:dyDescent="0.25">
      <c r="A538"/>
      <c r="B538"/>
      <c r="C538"/>
      <c r="D538"/>
      <c r="E538"/>
      <c r="F538"/>
      <c r="G538"/>
      <c r="H538"/>
      <c r="I538"/>
      <c r="J538"/>
      <c r="K538"/>
      <c r="L538"/>
      <c r="M538"/>
      <c r="N538"/>
      <c r="O538"/>
      <c r="P538"/>
      <c r="Q538"/>
      <c r="R538"/>
      <c r="S538"/>
      <c r="T538"/>
      <c r="U538"/>
      <c r="V538"/>
    </row>
    <row r="539" spans="1:22" x14ac:dyDescent="0.25">
      <c r="A539"/>
      <c r="B539"/>
      <c r="C539"/>
      <c r="D539"/>
      <c r="E539"/>
      <c r="F539"/>
      <c r="G539"/>
      <c r="H539"/>
      <c r="I539"/>
      <c r="J539"/>
      <c r="K539"/>
      <c r="L539"/>
      <c r="M539"/>
      <c r="N539"/>
      <c r="O539"/>
      <c r="P539"/>
      <c r="Q539"/>
      <c r="R539"/>
      <c r="S539"/>
      <c r="T539"/>
      <c r="U539"/>
      <c r="V539"/>
    </row>
    <row r="540" spans="1:22" x14ac:dyDescent="0.25">
      <c r="A540"/>
      <c r="B540"/>
      <c r="C540"/>
      <c r="D540"/>
      <c r="E540"/>
      <c r="F540"/>
      <c r="G540"/>
      <c r="H540"/>
      <c r="I540"/>
      <c r="J540"/>
      <c r="K540"/>
      <c r="L540"/>
      <c r="M540"/>
      <c r="N540"/>
      <c r="O540"/>
      <c r="P540"/>
      <c r="Q540"/>
      <c r="R540"/>
      <c r="S540"/>
      <c r="T540"/>
      <c r="U540"/>
      <c r="V540"/>
    </row>
    <row r="541" spans="1:22" x14ac:dyDescent="0.25">
      <c r="A541"/>
      <c r="B541"/>
      <c r="C541"/>
      <c r="D541"/>
      <c r="E541"/>
      <c r="F541"/>
      <c r="G541"/>
      <c r="H541"/>
      <c r="I541"/>
      <c r="J541"/>
      <c r="K541"/>
      <c r="L541"/>
      <c r="M541"/>
      <c r="N541"/>
      <c r="O541"/>
      <c r="P541"/>
      <c r="Q541"/>
      <c r="R541"/>
      <c r="S541"/>
      <c r="T541"/>
      <c r="U541"/>
      <c r="V541"/>
    </row>
    <row r="542" spans="1:22" x14ac:dyDescent="0.25">
      <c r="A542"/>
      <c r="B542"/>
      <c r="C542"/>
      <c r="D542"/>
      <c r="E542"/>
      <c r="F542"/>
      <c r="G542"/>
      <c r="H542"/>
      <c r="I542"/>
      <c r="J542"/>
      <c r="K542"/>
      <c r="L542"/>
      <c r="M542"/>
      <c r="N542"/>
      <c r="O542"/>
      <c r="P542"/>
      <c r="Q542"/>
      <c r="R542"/>
      <c r="S542"/>
      <c r="T542"/>
      <c r="U542"/>
      <c r="V542"/>
    </row>
    <row r="543" spans="1:22" x14ac:dyDescent="0.25">
      <c r="A543"/>
      <c r="B543"/>
      <c r="C543"/>
      <c r="D543"/>
      <c r="E543"/>
      <c r="F543"/>
      <c r="G543"/>
      <c r="H543"/>
      <c r="I543"/>
      <c r="J543"/>
      <c r="K543"/>
      <c r="L543"/>
      <c r="M543"/>
      <c r="N543"/>
      <c r="O543"/>
      <c r="P543"/>
      <c r="Q543"/>
      <c r="R543"/>
      <c r="S543"/>
      <c r="T543"/>
      <c r="U543"/>
      <c r="V543"/>
    </row>
    <row r="544" spans="1:22" x14ac:dyDescent="0.25">
      <c r="A544"/>
      <c r="B544"/>
      <c r="C544"/>
      <c r="D544"/>
      <c r="E544"/>
      <c r="F544"/>
      <c r="G544"/>
      <c r="H544"/>
      <c r="I544"/>
      <c r="J544"/>
      <c r="K544"/>
      <c r="L544"/>
      <c r="M544"/>
      <c r="N544"/>
      <c r="O544"/>
      <c r="P544"/>
      <c r="Q544"/>
      <c r="R544"/>
      <c r="S544"/>
      <c r="T544"/>
      <c r="U544"/>
      <c r="V544"/>
    </row>
    <row r="545" spans="1:22" x14ac:dyDescent="0.25">
      <c r="A545"/>
      <c r="B545"/>
      <c r="C545"/>
      <c r="D545"/>
      <c r="E545"/>
      <c r="F545"/>
      <c r="G545"/>
      <c r="H545"/>
      <c r="I545"/>
      <c r="J545"/>
      <c r="K545"/>
      <c r="L545"/>
      <c r="M545"/>
      <c r="N545"/>
      <c r="O545"/>
      <c r="P545"/>
      <c r="Q545"/>
      <c r="R545"/>
      <c r="S545"/>
      <c r="T545"/>
      <c r="U545"/>
      <c r="V545"/>
    </row>
    <row r="546" spans="1:22" x14ac:dyDescent="0.25">
      <c r="A546"/>
      <c r="B546"/>
      <c r="C546"/>
      <c r="D546"/>
      <c r="E546"/>
      <c r="F546"/>
      <c r="G546"/>
      <c r="H546"/>
      <c r="I546"/>
      <c r="J546"/>
      <c r="K546"/>
      <c r="L546"/>
      <c r="M546"/>
      <c r="N546"/>
      <c r="O546"/>
      <c r="P546"/>
      <c r="Q546"/>
      <c r="R546"/>
      <c r="S546"/>
      <c r="T546"/>
      <c r="U546"/>
      <c r="V546"/>
    </row>
    <row r="547" spans="1:22" x14ac:dyDescent="0.25">
      <c r="A547"/>
      <c r="B547"/>
      <c r="C547"/>
      <c r="D547"/>
      <c r="E547"/>
      <c r="F547"/>
      <c r="G547"/>
      <c r="H547"/>
      <c r="I547"/>
      <c r="J547"/>
      <c r="K547"/>
      <c r="L547"/>
      <c r="M547"/>
      <c r="N547"/>
      <c r="O547"/>
      <c r="P547"/>
      <c r="Q547"/>
      <c r="R547"/>
      <c r="S547"/>
      <c r="T547"/>
      <c r="U547"/>
      <c r="V547"/>
    </row>
    <row r="548" spans="1:22" x14ac:dyDescent="0.25">
      <c r="A548"/>
      <c r="B548"/>
      <c r="C548"/>
      <c r="D548"/>
      <c r="E548"/>
      <c r="F548"/>
      <c r="G548"/>
      <c r="H548"/>
      <c r="I548"/>
      <c r="J548"/>
      <c r="K548"/>
      <c r="L548"/>
      <c r="M548"/>
      <c r="N548"/>
      <c r="O548"/>
      <c r="P548"/>
      <c r="Q548"/>
      <c r="R548"/>
      <c r="S548"/>
      <c r="T548"/>
      <c r="U548"/>
      <c r="V548"/>
    </row>
    <row r="549" spans="1:22" x14ac:dyDescent="0.25">
      <c r="A549"/>
      <c r="B549"/>
      <c r="C549"/>
      <c r="D549"/>
      <c r="E549"/>
      <c r="F549"/>
      <c r="G549"/>
      <c r="H549"/>
      <c r="I549"/>
      <c r="J549"/>
      <c r="K549"/>
      <c r="L549"/>
      <c r="M549"/>
      <c r="N549"/>
      <c r="O549"/>
      <c r="P549"/>
      <c r="Q549"/>
      <c r="R549"/>
      <c r="S549"/>
      <c r="T549"/>
      <c r="U549"/>
      <c r="V549"/>
    </row>
    <row r="550" spans="1:22" x14ac:dyDescent="0.25">
      <c r="A550"/>
      <c r="B550"/>
      <c r="C550"/>
      <c r="D550"/>
      <c r="E550"/>
      <c r="F550"/>
      <c r="G550"/>
      <c r="H550"/>
      <c r="I550"/>
      <c r="J550"/>
      <c r="K550"/>
      <c r="L550"/>
      <c r="M550"/>
      <c r="N550"/>
      <c r="O550"/>
      <c r="P550"/>
      <c r="Q550"/>
      <c r="R550"/>
      <c r="S550"/>
      <c r="T550"/>
      <c r="U550"/>
      <c r="V550"/>
    </row>
    <row r="551" spans="1:22" x14ac:dyDescent="0.25">
      <c r="A551"/>
      <c r="B551"/>
      <c r="C551"/>
      <c r="D551"/>
      <c r="E551"/>
      <c r="F551"/>
      <c r="G551"/>
      <c r="H551"/>
      <c r="I551"/>
      <c r="J551"/>
      <c r="K551"/>
      <c r="L551"/>
      <c r="M551"/>
      <c r="N551"/>
      <c r="O551"/>
      <c r="P551"/>
      <c r="Q551"/>
      <c r="R551"/>
      <c r="S551"/>
      <c r="T551"/>
      <c r="U551"/>
      <c r="V551"/>
    </row>
    <row r="552" spans="1:22" x14ac:dyDescent="0.25">
      <c r="A552"/>
      <c r="B552"/>
      <c r="C552"/>
      <c r="D552"/>
      <c r="E552"/>
      <c r="F552"/>
      <c r="G552"/>
      <c r="H552"/>
      <c r="I552"/>
      <c r="J552"/>
      <c r="K552"/>
      <c r="L552"/>
      <c r="M552"/>
      <c r="N552"/>
      <c r="O552"/>
      <c r="P552"/>
      <c r="Q552"/>
      <c r="R552"/>
      <c r="S552"/>
      <c r="T552"/>
      <c r="U552"/>
      <c r="V552"/>
    </row>
    <row r="553" spans="1:22" x14ac:dyDescent="0.25">
      <c r="A553"/>
      <c r="B553"/>
      <c r="C553"/>
      <c r="D553"/>
      <c r="E553"/>
      <c r="F553"/>
      <c r="G553"/>
      <c r="H553"/>
      <c r="I553"/>
      <c r="J553"/>
      <c r="K553"/>
      <c r="L553"/>
      <c r="M553"/>
      <c r="N553"/>
      <c r="O553"/>
      <c r="P553"/>
      <c r="Q553"/>
      <c r="R553"/>
      <c r="S553"/>
      <c r="T553"/>
      <c r="U553"/>
      <c r="V553"/>
    </row>
    <row r="554" spans="1:22" x14ac:dyDescent="0.25">
      <c r="A554"/>
      <c r="B554"/>
      <c r="C554"/>
      <c r="D554"/>
      <c r="E554"/>
      <c r="F554"/>
      <c r="G554"/>
      <c r="H554"/>
      <c r="I554"/>
      <c r="J554"/>
      <c r="K554"/>
      <c r="L554"/>
      <c r="M554"/>
      <c r="N554"/>
      <c r="O554"/>
      <c r="P554"/>
      <c r="Q554"/>
      <c r="R554"/>
      <c r="S554"/>
      <c r="T554"/>
      <c r="U554"/>
      <c r="V554"/>
    </row>
    <row r="555" spans="1:22" x14ac:dyDescent="0.25">
      <c r="A555"/>
      <c r="B555"/>
      <c r="C555"/>
      <c r="D555"/>
      <c r="E555"/>
      <c r="F555"/>
      <c r="G555"/>
      <c r="H555"/>
      <c r="I555"/>
      <c r="J555"/>
      <c r="K555"/>
      <c r="L555"/>
      <c r="M555"/>
      <c r="N555"/>
      <c r="O555"/>
      <c r="P555"/>
      <c r="Q555"/>
      <c r="R555"/>
      <c r="S555"/>
      <c r="T555"/>
      <c r="U555"/>
      <c r="V555"/>
    </row>
    <row r="556" spans="1:22" x14ac:dyDescent="0.25">
      <c r="A556"/>
      <c r="B556"/>
      <c r="C556"/>
      <c r="D556"/>
      <c r="E556"/>
      <c r="F556"/>
      <c r="G556"/>
      <c r="H556"/>
      <c r="I556"/>
      <c r="J556"/>
      <c r="K556"/>
      <c r="L556"/>
      <c r="M556"/>
      <c r="N556"/>
      <c r="O556"/>
      <c r="P556"/>
      <c r="Q556"/>
      <c r="R556"/>
      <c r="S556"/>
      <c r="T556"/>
      <c r="U556"/>
      <c r="V556"/>
    </row>
    <row r="557" spans="1:22" x14ac:dyDescent="0.25">
      <c r="A557"/>
      <c r="B557"/>
      <c r="C557"/>
      <c r="D557"/>
      <c r="E557"/>
      <c r="F557"/>
      <c r="G557"/>
      <c r="H557"/>
      <c r="I557"/>
      <c r="J557"/>
      <c r="K557"/>
      <c r="L557"/>
      <c r="M557"/>
      <c r="N557"/>
      <c r="O557"/>
      <c r="P557"/>
      <c r="Q557"/>
      <c r="R557"/>
      <c r="S557"/>
      <c r="T557"/>
      <c r="U557"/>
      <c r="V557"/>
    </row>
    <row r="558" spans="1:22" x14ac:dyDescent="0.25">
      <c r="A558"/>
      <c r="B558"/>
      <c r="C558"/>
      <c r="D558"/>
      <c r="E558"/>
      <c r="F558"/>
      <c r="G558"/>
      <c r="H558"/>
      <c r="I558"/>
      <c r="J558"/>
      <c r="K558"/>
      <c r="L558"/>
      <c r="M558"/>
      <c r="N558"/>
      <c r="O558"/>
      <c r="P558"/>
      <c r="Q558"/>
      <c r="R558"/>
      <c r="S558"/>
      <c r="T558"/>
      <c r="U558"/>
      <c r="V558"/>
    </row>
    <row r="559" spans="1:22" x14ac:dyDescent="0.25">
      <c r="A559"/>
      <c r="B559"/>
      <c r="C559"/>
      <c r="D559"/>
      <c r="E559"/>
      <c r="F559"/>
      <c r="G559"/>
      <c r="H559"/>
      <c r="I559"/>
      <c r="J559"/>
      <c r="K559"/>
      <c r="L559"/>
      <c r="M559"/>
      <c r="N559"/>
      <c r="O559"/>
      <c r="P559"/>
      <c r="Q559"/>
      <c r="R559"/>
      <c r="S559"/>
      <c r="T559"/>
      <c r="U559"/>
      <c r="V559"/>
    </row>
    <row r="560" spans="1:22" x14ac:dyDescent="0.25">
      <c r="A560"/>
      <c r="B560"/>
      <c r="C560"/>
      <c r="D560"/>
      <c r="E560"/>
      <c r="F560"/>
      <c r="G560"/>
      <c r="H560"/>
      <c r="I560"/>
      <c r="J560"/>
      <c r="K560"/>
      <c r="L560"/>
      <c r="M560"/>
      <c r="N560"/>
      <c r="O560"/>
      <c r="P560"/>
      <c r="Q560"/>
      <c r="R560"/>
      <c r="S560"/>
      <c r="T560"/>
      <c r="U560"/>
      <c r="V560"/>
    </row>
    <row r="561" spans="1:22" x14ac:dyDescent="0.25">
      <c r="A561"/>
      <c r="B561"/>
      <c r="C561"/>
      <c r="D561"/>
      <c r="E561"/>
      <c r="F561"/>
      <c r="G561"/>
      <c r="H561"/>
      <c r="I561"/>
      <c r="J561"/>
      <c r="K561"/>
      <c r="L561"/>
      <c r="M561"/>
      <c r="N561"/>
      <c r="O561"/>
      <c r="P561"/>
      <c r="Q561"/>
      <c r="R561"/>
      <c r="S561"/>
      <c r="T561"/>
      <c r="U561"/>
      <c r="V561"/>
    </row>
    <row r="562" spans="1:22" x14ac:dyDescent="0.25">
      <c r="A562"/>
      <c r="B562"/>
      <c r="C562"/>
      <c r="D562"/>
      <c r="E562"/>
      <c r="F562"/>
      <c r="G562"/>
      <c r="H562"/>
      <c r="I562"/>
      <c r="J562"/>
      <c r="K562"/>
      <c r="L562"/>
      <c r="M562"/>
      <c r="N562"/>
      <c r="O562"/>
      <c r="P562"/>
      <c r="Q562"/>
      <c r="R562"/>
      <c r="S562"/>
      <c r="T562"/>
      <c r="U562"/>
      <c r="V562"/>
    </row>
    <row r="563" spans="1:22" x14ac:dyDescent="0.25">
      <c r="A563"/>
      <c r="B563"/>
      <c r="C563"/>
      <c r="D563"/>
      <c r="E563"/>
      <c r="F563"/>
      <c r="G563"/>
      <c r="H563"/>
      <c r="I563"/>
      <c r="J563"/>
      <c r="K563"/>
      <c r="L563"/>
      <c r="M563"/>
      <c r="N563"/>
      <c r="O563"/>
      <c r="P563"/>
      <c r="Q563"/>
      <c r="R563"/>
      <c r="S563"/>
      <c r="T563"/>
      <c r="U563"/>
      <c r="V563"/>
    </row>
    <row r="564" spans="1:22" x14ac:dyDescent="0.25">
      <c r="A564"/>
      <c r="B564"/>
      <c r="C564"/>
      <c r="D564"/>
      <c r="E564"/>
      <c r="F564"/>
      <c r="G564"/>
      <c r="H564"/>
      <c r="I564"/>
      <c r="J564"/>
      <c r="K564"/>
      <c r="L564"/>
      <c r="M564"/>
      <c r="N564"/>
      <c r="O564"/>
      <c r="P564"/>
      <c r="Q564"/>
      <c r="R564"/>
      <c r="S564"/>
      <c r="T564"/>
      <c r="U564"/>
      <c r="V564"/>
    </row>
    <row r="565" spans="1:22" x14ac:dyDescent="0.25">
      <c r="A565"/>
      <c r="B565"/>
      <c r="C565"/>
      <c r="D565"/>
      <c r="E565"/>
      <c r="F565"/>
      <c r="G565"/>
      <c r="H565"/>
      <c r="I565"/>
      <c r="J565"/>
      <c r="K565"/>
      <c r="L565"/>
      <c r="M565"/>
      <c r="N565"/>
      <c r="O565"/>
      <c r="P565"/>
      <c r="Q565"/>
      <c r="R565"/>
      <c r="S565"/>
      <c r="T565"/>
      <c r="U565"/>
      <c r="V565"/>
    </row>
    <row r="566" spans="1:22" x14ac:dyDescent="0.25">
      <c r="A566"/>
      <c r="B566"/>
      <c r="C566"/>
      <c r="D566"/>
      <c r="E566"/>
      <c r="F566"/>
      <c r="G566"/>
      <c r="H566"/>
      <c r="I566"/>
      <c r="J566"/>
      <c r="K566"/>
      <c r="L566"/>
      <c r="M566"/>
      <c r="N566"/>
      <c r="O566"/>
      <c r="P566"/>
      <c r="Q566"/>
      <c r="R566"/>
      <c r="S566"/>
      <c r="T566"/>
      <c r="U566"/>
      <c r="V566"/>
    </row>
    <row r="567" spans="1:22" x14ac:dyDescent="0.25">
      <c r="A567"/>
      <c r="B567"/>
      <c r="C567"/>
      <c r="D567"/>
      <c r="E567"/>
      <c r="F567"/>
      <c r="G567"/>
      <c r="H567"/>
      <c r="I567"/>
      <c r="J567"/>
      <c r="K567"/>
      <c r="L567"/>
      <c r="M567"/>
      <c r="N567"/>
      <c r="O567"/>
      <c r="P567"/>
      <c r="Q567"/>
      <c r="R567"/>
      <c r="S567"/>
      <c r="T567"/>
      <c r="U567"/>
      <c r="V567"/>
    </row>
    <row r="568" spans="1:22" x14ac:dyDescent="0.25">
      <c r="A568"/>
      <c r="B568"/>
      <c r="C568"/>
      <c r="D568"/>
      <c r="E568"/>
      <c r="F568"/>
      <c r="G568"/>
      <c r="H568"/>
      <c r="I568"/>
      <c r="J568"/>
      <c r="K568"/>
      <c r="L568"/>
      <c r="M568"/>
      <c r="N568"/>
      <c r="O568"/>
      <c r="P568"/>
      <c r="Q568"/>
      <c r="R568"/>
      <c r="S568"/>
      <c r="T568"/>
      <c r="U568"/>
      <c r="V568"/>
    </row>
    <row r="569" spans="1:22" x14ac:dyDescent="0.25">
      <c r="A569"/>
      <c r="B569"/>
      <c r="C569"/>
      <c r="D569"/>
      <c r="E569"/>
      <c r="F569"/>
      <c r="G569"/>
      <c r="H569"/>
      <c r="I569"/>
      <c r="J569"/>
      <c r="K569"/>
      <c r="L569"/>
      <c r="M569"/>
      <c r="N569"/>
      <c r="O569"/>
      <c r="P569"/>
      <c r="Q569"/>
      <c r="R569"/>
      <c r="S569"/>
      <c r="T569"/>
      <c r="U569"/>
      <c r="V569"/>
    </row>
    <row r="570" spans="1:22" x14ac:dyDescent="0.25">
      <c r="A570"/>
      <c r="B570"/>
      <c r="C570"/>
      <c r="D570"/>
      <c r="E570"/>
      <c r="F570"/>
      <c r="G570"/>
      <c r="H570"/>
      <c r="I570"/>
      <c r="J570"/>
      <c r="K570"/>
      <c r="L570"/>
      <c r="M570"/>
      <c r="N570"/>
      <c r="O570"/>
      <c r="P570"/>
      <c r="Q570"/>
      <c r="R570"/>
      <c r="S570"/>
      <c r="T570"/>
      <c r="U570"/>
      <c r="V570"/>
    </row>
    <row r="571" spans="1:22" x14ac:dyDescent="0.25">
      <c r="A571"/>
      <c r="B571"/>
      <c r="C571"/>
      <c r="D571"/>
      <c r="E571"/>
      <c r="F571"/>
      <c r="G571"/>
      <c r="H571"/>
      <c r="I571"/>
      <c r="J571"/>
      <c r="K571"/>
      <c r="L571"/>
      <c r="M571"/>
      <c r="N571"/>
      <c r="O571"/>
      <c r="P571"/>
      <c r="Q571"/>
      <c r="R571"/>
      <c r="S571"/>
      <c r="T571"/>
      <c r="U571"/>
      <c r="V571"/>
    </row>
    <row r="572" spans="1:22" x14ac:dyDescent="0.25">
      <c r="A572"/>
      <c r="B572"/>
      <c r="C572"/>
      <c r="D572"/>
      <c r="E572"/>
      <c r="F572"/>
      <c r="G572"/>
      <c r="H572"/>
      <c r="I572"/>
      <c r="J572"/>
      <c r="K572"/>
      <c r="L572"/>
      <c r="M572"/>
      <c r="N572"/>
      <c r="O572"/>
      <c r="P572"/>
      <c r="Q572"/>
      <c r="R572"/>
      <c r="S572"/>
      <c r="T572"/>
      <c r="U572"/>
      <c r="V572"/>
    </row>
    <row r="573" spans="1:22" x14ac:dyDescent="0.25">
      <c r="A573"/>
      <c r="B573"/>
      <c r="C573"/>
      <c r="D573"/>
      <c r="E573"/>
      <c r="F573"/>
      <c r="G573"/>
      <c r="H573"/>
      <c r="I573"/>
      <c r="J573"/>
      <c r="K573"/>
      <c r="L573"/>
      <c r="M573"/>
      <c r="N573"/>
      <c r="O573"/>
      <c r="P573"/>
      <c r="Q573"/>
      <c r="R573"/>
      <c r="S573"/>
      <c r="T573"/>
      <c r="U573"/>
      <c r="V573"/>
    </row>
    <row r="574" spans="1:22" x14ac:dyDescent="0.25">
      <c r="A574"/>
      <c r="B574"/>
      <c r="C574"/>
      <c r="D574"/>
      <c r="E574"/>
      <c r="F574"/>
      <c r="G574"/>
      <c r="H574"/>
      <c r="I574"/>
      <c r="J574"/>
      <c r="K574"/>
      <c r="L574"/>
      <c r="M574"/>
      <c r="N574"/>
      <c r="O574"/>
      <c r="P574"/>
      <c r="Q574"/>
      <c r="R574"/>
      <c r="S574"/>
      <c r="T574"/>
      <c r="U574"/>
      <c r="V574"/>
    </row>
    <row r="575" spans="1:22" x14ac:dyDescent="0.25">
      <c r="A575"/>
      <c r="B575"/>
      <c r="C575"/>
      <c r="D575"/>
      <c r="E575"/>
      <c r="F575"/>
      <c r="G575"/>
      <c r="H575"/>
      <c r="I575"/>
      <c r="J575"/>
      <c r="K575"/>
      <c r="L575"/>
      <c r="M575"/>
      <c r="N575"/>
      <c r="O575"/>
      <c r="P575"/>
      <c r="Q575"/>
      <c r="R575"/>
      <c r="S575"/>
      <c r="T575"/>
      <c r="U575"/>
      <c r="V575"/>
    </row>
    <row r="576" spans="1:22" x14ac:dyDescent="0.25">
      <c r="A576"/>
      <c r="B576"/>
      <c r="C576"/>
      <c r="D576"/>
      <c r="E576"/>
      <c r="F576"/>
      <c r="G576"/>
      <c r="H576"/>
      <c r="I576"/>
      <c r="J576"/>
      <c r="K576"/>
      <c r="L576"/>
      <c r="M576"/>
      <c r="N576"/>
      <c r="O576"/>
      <c r="P576"/>
      <c r="Q576"/>
      <c r="R576"/>
      <c r="S576"/>
      <c r="T576"/>
      <c r="U576"/>
      <c r="V576"/>
    </row>
    <row r="577" spans="1:22" x14ac:dyDescent="0.25">
      <c r="A577"/>
      <c r="B577"/>
      <c r="C577"/>
      <c r="D577"/>
      <c r="E577"/>
      <c r="F577"/>
      <c r="G577"/>
      <c r="H577"/>
      <c r="I577"/>
      <c r="J577"/>
      <c r="K577"/>
      <c r="L577"/>
      <c r="M577"/>
      <c r="N577"/>
      <c r="O577"/>
      <c r="P577"/>
      <c r="Q577"/>
      <c r="R577"/>
      <c r="S577"/>
      <c r="T577"/>
      <c r="U577"/>
      <c r="V577"/>
    </row>
    <row r="578" spans="1:22" x14ac:dyDescent="0.25">
      <c r="A578"/>
      <c r="B578"/>
      <c r="C578"/>
      <c r="D578"/>
      <c r="E578"/>
      <c r="F578"/>
      <c r="G578"/>
      <c r="H578"/>
      <c r="I578"/>
      <c r="J578"/>
      <c r="K578"/>
      <c r="L578"/>
      <c r="M578"/>
      <c r="N578"/>
      <c r="O578"/>
      <c r="P578"/>
      <c r="Q578"/>
      <c r="R578"/>
      <c r="S578"/>
      <c r="T578"/>
      <c r="U578"/>
      <c r="V578"/>
    </row>
    <row r="579" spans="1:22" x14ac:dyDescent="0.25">
      <c r="A579"/>
      <c r="B579"/>
      <c r="C579"/>
      <c r="D579"/>
      <c r="E579"/>
      <c r="F579"/>
      <c r="G579"/>
      <c r="H579"/>
      <c r="I579"/>
      <c r="J579"/>
      <c r="K579"/>
      <c r="L579"/>
      <c r="M579"/>
      <c r="N579"/>
      <c r="O579"/>
      <c r="P579"/>
      <c r="Q579"/>
      <c r="R579"/>
      <c r="S579"/>
      <c r="T579"/>
      <c r="U579"/>
      <c r="V579"/>
    </row>
    <row r="580" spans="1:22" x14ac:dyDescent="0.25">
      <c r="A580"/>
      <c r="B580"/>
      <c r="C580"/>
      <c r="D580"/>
      <c r="E580"/>
      <c r="F580"/>
      <c r="G580"/>
      <c r="H580"/>
      <c r="I580"/>
      <c r="J580"/>
      <c r="K580"/>
      <c r="L580"/>
      <c r="M580"/>
      <c r="N580"/>
      <c r="O580"/>
      <c r="P580"/>
      <c r="Q580"/>
      <c r="R580"/>
      <c r="S580"/>
      <c r="T580"/>
      <c r="U580"/>
      <c r="V580"/>
    </row>
    <row r="581" spans="1:22" x14ac:dyDescent="0.25">
      <c r="A581"/>
      <c r="B581"/>
      <c r="C581"/>
      <c r="D581"/>
      <c r="E581"/>
      <c r="F581"/>
      <c r="G581"/>
      <c r="H581"/>
      <c r="I581"/>
      <c r="J581"/>
      <c r="K581"/>
      <c r="L581"/>
      <c r="M581"/>
      <c r="N581"/>
      <c r="O581"/>
      <c r="P581"/>
      <c r="Q581"/>
      <c r="R581"/>
      <c r="S581"/>
      <c r="T581"/>
      <c r="U581"/>
      <c r="V581"/>
    </row>
    <row r="582" spans="1:22" x14ac:dyDescent="0.25">
      <c r="A582"/>
      <c r="B582"/>
      <c r="C582"/>
      <c r="D582"/>
      <c r="E582"/>
      <c r="F582"/>
      <c r="G582"/>
      <c r="H582"/>
      <c r="I582"/>
      <c r="J582"/>
      <c r="K582"/>
      <c r="L582"/>
      <c r="M582"/>
      <c r="N582"/>
      <c r="O582"/>
      <c r="P582"/>
      <c r="Q582"/>
      <c r="R582"/>
      <c r="S582"/>
      <c r="T582"/>
      <c r="U582"/>
      <c r="V582"/>
    </row>
    <row r="583" spans="1:22" x14ac:dyDescent="0.25">
      <c r="A583"/>
      <c r="B583"/>
      <c r="C583"/>
      <c r="D583"/>
      <c r="E583"/>
      <c r="F583"/>
      <c r="G583"/>
      <c r="H583"/>
      <c r="I583"/>
      <c r="J583"/>
      <c r="K583"/>
      <c r="L583"/>
      <c r="M583"/>
      <c r="N583"/>
      <c r="O583"/>
      <c r="P583"/>
      <c r="Q583"/>
      <c r="R583"/>
      <c r="S583"/>
      <c r="T583"/>
      <c r="U583"/>
      <c r="V583"/>
    </row>
    <row r="584" spans="1:22" x14ac:dyDescent="0.25">
      <c r="A584"/>
      <c r="B584"/>
      <c r="C584"/>
      <c r="D584"/>
      <c r="E584"/>
      <c r="F584"/>
      <c r="G584"/>
      <c r="H584"/>
      <c r="I584"/>
      <c r="J584"/>
      <c r="K584"/>
      <c r="L584"/>
      <c r="M584"/>
      <c r="N584"/>
      <c r="O584"/>
      <c r="P584"/>
      <c r="Q584"/>
      <c r="R584"/>
      <c r="S584"/>
      <c r="T584"/>
      <c r="U584"/>
      <c r="V584"/>
    </row>
    <row r="585" spans="1:22" x14ac:dyDescent="0.25">
      <c r="A585"/>
      <c r="B585"/>
      <c r="C585"/>
      <c r="D585"/>
      <c r="E585"/>
      <c r="F585"/>
      <c r="G585"/>
      <c r="H585"/>
      <c r="I585"/>
      <c r="J585"/>
      <c r="K585"/>
      <c r="L585"/>
      <c r="M585"/>
      <c r="N585"/>
      <c r="O585"/>
      <c r="P585"/>
      <c r="Q585"/>
      <c r="R585"/>
      <c r="S585"/>
      <c r="T585"/>
      <c r="U585"/>
      <c r="V585"/>
    </row>
    <row r="586" spans="1:22" x14ac:dyDescent="0.25">
      <c r="A586"/>
      <c r="B586"/>
      <c r="C586"/>
      <c r="D586"/>
      <c r="E586"/>
      <c r="F586"/>
      <c r="G586"/>
      <c r="H586"/>
      <c r="I586"/>
      <c r="J586"/>
      <c r="K586"/>
      <c r="L586"/>
      <c r="M586"/>
      <c r="N586"/>
      <c r="O586"/>
      <c r="P586"/>
      <c r="Q586"/>
      <c r="R586"/>
      <c r="S586"/>
      <c r="T586"/>
      <c r="U586"/>
      <c r="V586"/>
    </row>
    <row r="587" spans="1:22" x14ac:dyDescent="0.25">
      <c r="A587"/>
      <c r="B587"/>
      <c r="C587"/>
      <c r="D587"/>
      <c r="E587"/>
      <c r="F587"/>
      <c r="G587"/>
      <c r="H587"/>
      <c r="I587"/>
      <c r="J587"/>
      <c r="K587"/>
      <c r="L587"/>
      <c r="M587"/>
      <c r="N587"/>
      <c r="O587"/>
      <c r="P587"/>
      <c r="Q587"/>
      <c r="R587"/>
      <c r="S587"/>
      <c r="T587"/>
      <c r="U587"/>
      <c r="V587"/>
    </row>
    <row r="588" spans="1:22" x14ac:dyDescent="0.25">
      <c r="A588"/>
      <c r="B588"/>
      <c r="C588"/>
      <c r="D588"/>
      <c r="E588"/>
      <c r="F588"/>
      <c r="G588"/>
      <c r="H588"/>
      <c r="I588"/>
      <c r="J588"/>
      <c r="K588"/>
      <c r="L588"/>
      <c r="M588"/>
      <c r="N588"/>
      <c r="O588"/>
      <c r="P588"/>
      <c r="Q588"/>
      <c r="R588"/>
      <c r="S588"/>
      <c r="T588"/>
      <c r="U588"/>
      <c r="V588"/>
    </row>
    <row r="589" spans="1:22" x14ac:dyDescent="0.25">
      <c r="A589"/>
      <c r="B589"/>
      <c r="C589"/>
      <c r="D589"/>
      <c r="E589"/>
      <c r="F589"/>
      <c r="G589"/>
      <c r="H589"/>
      <c r="I589"/>
      <c r="J589"/>
      <c r="K589"/>
      <c r="L589"/>
      <c r="M589"/>
      <c r="N589"/>
      <c r="O589"/>
      <c r="P589"/>
      <c r="Q589"/>
      <c r="R589"/>
      <c r="S589"/>
      <c r="T589"/>
      <c r="U589"/>
      <c r="V589"/>
    </row>
    <row r="590" spans="1:22" x14ac:dyDescent="0.25">
      <c r="A590"/>
      <c r="B590"/>
      <c r="C590"/>
      <c r="D590"/>
      <c r="E590"/>
      <c r="F590"/>
      <c r="G590"/>
      <c r="H590"/>
      <c r="I590"/>
      <c r="J590"/>
      <c r="K590"/>
      <c r="L590"/>
      <c r="M590"/>
      <c r="N590"/>
      <c r="O590"/>
      <c r="P590"/>
      <c r="Q590"/>
      <c r="R590"/>
      <c r="S590"/>
      <c r="T590"/>
      <c r="U590"/>
      <c r="V590"/>
    </row>
    <row r="591" spans="1:22" x14ac:dyDescent="0.25">
      <c r="A591"/>
      <c r="B591"/>
      <c r="C591"/>
      <c r="D591"/>
      <c r="E591"/>
      <c r="F591"/>
      <c r="G591"/>
      <c r="H591"/>
      <c r="I591"/>
      <c r="J591"/>
      <c r="K591"/>
      <c r="L591"/>
      <c r="M591"/>
      <c r="N591"/>
      <c r="O591"/>
      <c r="P591"/>
      <c r="Q591"/>
      <c r="R591"/>
      <c r="S591"/>
      <c r="T591"/>
      <c r="U591"/>
      <c r="V591"/>
    </row>
    <row r="592" spans="1:22" x14ac:dyDescent="0.25">
      <c r="A592"/>
      <c r="B592"/>
      <c r="C592"/>
      <c r="D592"/>
      <c r="E592"/>
      <c r="F592"/>
      <c r="G592"/>
      <c r="H592"/>
      <c r="I592"/>
      <c r="J592"/>
      <c r="K592"/>
      <c r="L592"/>
      <c r="M592"/>
      <c r="N592"/>
      <c r="O592"/>
      <c r="P592"/>
      <c r="Q592"/>
      <c r="R592"/>
      <c r="S592"/>
      <c r="T592"/>
      <c r="U592"/>
      <c r="V592"/>
    </row>
    <row r="593" spans="1:22" x14ac:dyDescent="0.25">
      <c r="A593"/>
      <c r="B593"/>
      <c r="C593"/>
      <c r="D593"/>
      <c r="E593"/>
      <c r="F593"/>
      <c r="G593"/>
      <c r="H593"/>
      <c r="I593"/>
      <c r="J593"/>
      <c r="K593"/>
      <c r="L593"/>
      <c r="M593"/>
      <c r="N593"/>
      <c r="O593"/>
      <c r="P593"/>
      <c r="Q593"/>
      <c r="R593"/>
      <c r="S593"/>
      <c r="T593"/>
      <c r="U593"/>
      <c r="V593"/>
    </row>
    <row r="594" spans="1:22" x14ac:dyDescent="0.25">
      <c r="A594"/>
      <c r="B594"/>
      <c r="C594"/>
      <c r="D594"/>
      <c r="E594"/>
      <c r="F594"/>
      <c r="G594"/>
      <c r="H594"/>
      <c r="I594"/>
      <c r="J594"/>
      <c r="K594"/>
      <c r="L594"/>
      <c r="M594"/>
      <c r="N594"/>
      <c r="O594"/>
      <c r="P594"/>
      <c r="Q594"/>
      <c r="R594"/>
      <c r="S594"/>
      <c r="T594"/>
      <c r="U594"/>
      <c r="V594"/>
    </row>
    <row r="595" spans="1:22" x14ac:dyDescent="0.25">
      <c r="A595"/>
      <c r="B595"/>
      <c r="C595"/>
      <c r="D595"/>
      <c r="E595"/>
      <c r="F595"/>
      <c r="G595"/>
      <c r="H595"/>
      <c r="I595"/>
      <c r="J595"/>
      <c r="K595"/>
      <c r="L595"/>
      <c r="M595"/>
      <c r="N595"/>
      <c r="O595"/>
      <c r="P595"/>
      <c r="Q595"/>
      <c r="R595"/>
      <c r="S595"/>
      <c r="T595"/>
      <c r="U595"/>
      <c r="V595"/>
    </row>
    <row r="596" spans="1:22" x14ac:dyDescent="0.25">
      <c r="A596"/>
      <c r="B596"/>
      <c r="C596"/>
      <c r="D596"/>
      <c r="E596"/>
      <c r="F596"/>
      <c r="G596"/>
      <c r="H596"/>
      <c r="I596"/>
      <c r="J596"/>
      <c r="K596"/>
      <c r="L596"/>
      <c r="M596"/>
      <c r="N596"/>
      <c r="O596"/>
      <c r="P596"/>
      <c r="Q596"/>
      <c r="R596"/>
      <c r="S596"/>
      <c r="T596"/>
      <c r="U596"/>
      <c r="V596"/>
    </row>
    <row r="597" spans="1:22" x14ac:dyDescent="0.25">
      <c r="A597"/>
      <c r="B597"/>
      <c r="C597"/>
      <c r="D597"/>
      <c r="E597"/>
      <c r="F597"/>
      <c r="G597"/>
      <c r="H597"/>
      <c r="I597"/>
      <c r="J597"/>
      <c r="K597"/>
      <c r="L597"/>
      <c r="M597"/>
      <c r="N597"/>
      <c r="O597"/>
      <c r="P597"/>
      <c r="Q597"/>
      <c r="R597"/>
      <c r="S597"/>
      <c r="T597"/>
      <c r="U597"/>
      <c r="V597"/>
    </row>
    <row r="598" spans="1:22" x14ac:dyDescent="0.25">
      <c r="A598"/>
      <c r="B598"/>
      <c r="C598"/>
      <c r="D598"/>
      <c r="E598"/>
      <c r="F598"/>
      <c r="G598"/>
      <c r="H598"/>
      <c r="I598"/>
      <c r="J598"/>
      <c r="K598"/>
      <c r="L598"/>
      <c r="M598"/>
      <c r="N598"/>
      <c r="O598"/>
      <c r="P598"/>
      <c r="Q598"/>
      <c r="R598"/>
      <c r="S598"/>
      <c r="T598"/>
      <c r="U598"/>
      <c r="V598"/>
    </row>
    <row r="599" spans="1:22" x14ac:dyDescent="0.25">
      <c r="A599"/>
      <c r="B599"/>
      <c r="C599"/>
      <c r="D599"/>
      <c r="E599"/>
      <c r="F599"/>
      <c r="G599"/>
      <c r="H599"/>
      <c r="I599"/>
      <c r="J599"/>
      <c r="K599"/>
      <c r="L599"/>
      <c r="M599"/>
      <c r="N599"/>
      <c r="O599"/>
      <c r="P599"/>
      <c r="Q599"/>
      <c r="R599"/>
      <c r="S599"/>
      <c r="T599"/>
      <c r="U599"/>
      <c r="V599"/>
    </row>
    <row r="600" spans="1:22" x14ac:dyDescent="0.25">
      <c r="A600"/>
      <c r="B600"/>
      <c r="C600"/>
      <c r="D600"/>
      <c r="E600"/>
      <c r="F600"/>
      <c r="G600"/>
      <c r="H600"/>
      <c r="I600"/>
      <c r="J600"/>
      <c r="K600"/>
      <c r="L600"/>
      <c r="M600"/>
      <c r="N600"/>
      <c r="O600"/>
      <c r="P600"/>
      <c r="Q600"/>
      <c r="R600"/>
      <c r="S600"/>
      <c r="T600"/>
      <c r="U600"/>
      <c r="V600"/>
    </row>
    <row r="601" spans="1:22" x14ac:dyDescent="0.25">
      <c r="A601"/>
      <c r="B601"/>
      <c r="C601"/>
      <c r="D601"/>
      <c r="E601"/>
      <c r="F601"/>
      <c r="G601"/>
      <c r="H601"/>
      <c r="I601"/>
      <c r="J601"/>
      <c r="K601"/>
      <c r="L601"/>
      <c r="M601"/>
      <c r="N601"/>
      <c r="O601"/>
      <c r="P601"/>
      <c r="Q601"/>
      <c r="R601"/>
      <c r="S601"/>
      <c r="T601"/>
      <c r="U601"/>
      <c r="V601"/>
    </row>
    <row r="602" spans="1:22" x14ac:dyDescent="0.25">
      <c r="A602"/>
      <c r="B602"/>
      <c r="C602"/>
      <c r="D602"/>
      <c r="E602"/>
      <c r="F602"/>
      <c r="G602"/>
      <c r="H602"/>
      <c r="I602"/>
      <c r="J602"/>
      <c r="K602"/>
      <c r="L602"/>
      <c r="M602"/>
      <c r="N602"/>
      <c r="O602"/>
      <c r="P602"/>
      <c r="Q602"/>
      <c r="R602"/>
      <c r="S602"/>
      <c r="T602"/>
      <c r="U602"/>
      <c r="V602"/>
    </row>
    <row r="603" spans="1:22" x14ac:dyDescent="0.25">
      <c r="A603"/>
      <c r="B603"/>
      <c r="C603"/>
      <c r="D603"/>
      <c r="E603"/>
      <c r="F603"/>
      <c r="G603"/>
      <c r="H603"/>
      <c r="I603"/>
      <c r="J603"/>
      <c r="K603"/>
      <c r="L603"/>
      <c r="M603"/>
      <c r="N603"/>
      <c r="O603"/>
      <c r="P603"/>
      <c r="Q603"/>
      <c r="R603"/>
      <c r="S603"/>
      <c r="T603"/>
      <c r="U603"/>
      <c r="V603"/>
    </row>
    <row r="604" spans="1:22" x14ac:dyDescent="0.25">
      <c r="A604"/>
      <c r="B604"/>
      <c r="C604"/>
      <c r="D604"/>
      <c r="E604"/>
      <c r="F604"/>
      <c r="G604"/>
      <c r="H604"/>
      <c r="I604"/>
      <c r="J604"/>
      <c r="K604"/>
      <c r="L604"/>
      <c r="M604"/>
      <c r="N604"/>
      <c r="O604"/>
      <c r="P604"/>
      <c r="Q604"/>
      <c r="R604"/>
      <c r="S604"/>
      <c r="T604"/>
      <c r="U604"/>
      <c r="V604"/>
    </row>
    <row r="605" spans="1:22" x14ac:dyDescent="0.25">
      <c r="A605"/>
      <c r="B605"/>
      <c r="C605"/>
      <c r="D605"/>
      <c r="E605"/>
      <c r="F605"/>
      <c r="G605"/>
      <c r="H605"/>
      <c r="I605"/>
      <c r="J605"/>
      <c r="K605"/>
      <c r="L605"/>
      <c r="M605"/>
      <c r="N605"/>
      <c r="O605"/>
      <c r="P605"/>
      <c r="Q605"/>
      <c r="R605"/>
      <c r="S605"/>
      <c r="T605"/>
      <c r="U605"/>
      <c r="V605"/>
    </row>
    <row r="606" spans="1:22" x14ac:dyDescent="0.25">
      <c r="A606"/>
      <c r="B606"/>
      <c r="C606"/>
      <c r="D606"/>
      <c r="E606"/>
      <c r="F606"/>
      <c r="G606"/>
      <c r="H606"/>
      <c r="I606"/>
      <c r="J606"/>
      <c r="K606"/>
      <c r="L606"/>
      <c r="M606"/>
      <c r="N606"/>
      <c r="O606"/>
      <c r="P606"/>
      <c r="Q606"/>
      <c r="R606"/>
      <c r="S606"/>
      <c r="T606"/>
      <c r="U606"/>
      <c r="V606"/>
    </row>
    <row r="607" spans="1:22" x14ac:dyDescent="0.25">
      <c r="A607"/>
      <c r="B607"/>
      <c r="C607"/>
      <c r="D607"/>
      <c r="E607"/>
      <c r="F607"/>
      <c r="G607"/>
      <c r="H607"/>
      <c r="I607"/>
      <c r="J607"/>
      <c r="K607"/>
      <c r="L607"/>
      <c r="M607"/>
      <c r="N607"/>
      <c r="O607"/>
      <c r="P607"/>
      <c r="Q607"/>
      <c r="R607"/>
      <c r="S607"/>
      <c r="T607"/>
      <c r="U607"/>
      <c r="V607"/>
    </row>
    <row r="608" spans="1:22" x14ac:dyDescent="0.25">
      <c r="A608"/>
      <c r="B608"/>
      <c r="C608"/>
      <c r="D608"/>
      <c r="E608"/>
      <c r="F608"/>
      <c r="G608"/>
      <c r="H608"/>
      <c r="I608"/>
      <c r="J608"/>
      <c r="K608"/>
      <c r="L608"/>
      <c r="M608"/>
      <c r="N608"/>
      <c r="O608"/>
      <c r="P608"/>
      <c r="Q608"/>
      <c r="R608"/>
      <c r="S608"/>
      <c r="T608"/>
      <c r="U608"/>
      <c r="V608"/>
    </row>
    <row r="609" spans="1:22" x14ac:dyDescent="0.25">
      <c r="A609"/>
      <c r="B609"/>
      <c r="C609"/>
      <c r="D609"/>
      <c r="E609"/>
      <c r="F609"/>
      <c r="G609"/>
      <c r="H609"/>
      <c r="I609"/>
      <c r="J609"/>
      <c r="K609"/>
      <c r="L609"/>
      <c r="M609"/>
      <c r="N609"/>
      <c r="O609"/>
      <c r="P609"/>
      <c r="Q609"/>
      <c r="R609"/>
      <c r="S609"/>
      <c r="T609"/>
      <c r="U609"/>
      <c r="V609"/>
    </row>
    <row r="610" spans="1:22" x14ac:dyDescent="0.25">
      <c r="A610"/>
      <c r="B610"/>
      <c r="C610"/>
      <c r="D610"/>
      <c r="E610"/>
      <c r="F610"/>
      <c r="G610"/>
      <c r="H610"/>
      <c r="I610"/>
      <c r="J610"/>
      <c r="K610"/>
      <c r="L610"/>
      <c r="M610"/>
      <c r="N610"/>
      <c r="O610"/>
      <c r="P610"/>
      <c r="Q610"/>
      <c r="R610"/>
      <c r="S610"/>
      <c r="T610"/>
      <c r="U610"/>
      <c r="V610"/>
    </row>
    <row r="611" spans="1:22" x14ac:dyDescent="0.25">
      <c r="A611"/>
      <c r="B611"/>
      <c r="C611"/>
      <c r="D611"/>
      <c r="E611"/>
      <c r="F611"/>
      <c r="G611"/>
      <c r="H611"/>
      <c r="I611"/>
      <c r="J611"/>
      <c r="K611"/>
      <c r="L611"/>
      <c r="M611"/>
      <c r="N611"/>
      <c r="O611"/>
      <c r="P611"/>
      <c r="Q611"/>
      <c r="R611"/>
      <c r="S611"/>
      <c r="T611"/>
      <c r="U611"/>
      <c r="V611"/>
    </row>
    <row r="612" spans="1:22" x14ac:dyDescent="0.25">
      <c r="A612"/>
      <c r="B612"/>
      <c r="C612"/>
      <c r="D612"/>
      <c r="E612"/>
      <c r="F612"/>
      <c r="G612"/>
      <c r="H612"/>
      <c r="I612"/>
      <c r="J612"/>
      <c r="K612"/>
      <c r="L612"/>
      <c r="M612"/>
      <c r="N612"/>
      <c r="O612"/>
      <c r="P612"/>
      <c r="Q612"/>
      <c r="R612"/>
      <c r="S612"/>
      <c r="T612"/>
      <c r="U612"/>
      <c r="V612"/>
    </row>
    <row r="613" spans="1:22" x14ac:dyDescent="0.25">
      <c r="A613"/>
      <c r="B613"/>
      <c r="C613"/>
      <c r="D613"/>
      <c r="E613"/>
      <c r="F613"/>
      <c r="G613"/>
      <c r="H613"/>
      <c r="I613"/>
      <c r="J613"/>
      <c r="K613"/>
      <c r="L613"/>
      <c r="M613"/>
      <c r="N613"/>
      <c r="O613"/>
      <c r="P613"/>
      <c r="Q613"/>
      <c r="R613"/>
      <c r="S613"/>
      <c r="T613"/>
      <c r="U613"/>
      <c r="V613"/>
    </row>
    <row r="614" spans="1:22" x14ac:dyDescent="0.25">
      <c r="A614"/>
      <c r="B614"/>
      <c r="C614"/>
      <c r="D614"/>
      <c r="E614"/>
      <c r="F614"/>
      <c r="G614"/>
      <c r="H614"/>
      <c r="I614"/>
      <c r="J614"/>
      <c r="K614"/>
      <c r="L614"/>
      <c r="M614"/>
      <c r="N614"/>
      <c r="O614"/>
      <c r="P614"/>
      <c r="Q614"/>
      <c r="R614"/>
      <c r="S614"/>
      <c r="T614"/>
      <c r="U614"/>
      <c r="V614"/>
    </row>
    <row r="615" spans="1:22" x14ac:dyDescent="0.25">
      <c r="A615"/>
      <c r="B615"/>
      <c r="C615"/>
      <c r="D615"/>
      <c r="E615"/>
      <c r="F615"/>
      <c r="G615"/>
      <c r="H615"/>
      <c r="I615"/>
      <c r="J615"/>
      <c r="K615"/>
      <c r="L615"/>
      <c r="M615"/>
      <c r="N615"/>
      <c r="O615"/>
      <c r="P615"/>
      <c r="Q615"/>
      <c r="R615"/>
      <c r="S615"/>
      <c r="T615"/>
      <c r="U615"/>
      <c r="V615"/>
    </row>
    <row r="616" spans="1:22" x14ac:dyDescent="0.25">
      <c r="A616"/>
      <c r="B616"/>
      <c r="C616"/>
      <c r="D616"/>
      <c r="E616"/>
      <c r="F616"/>
      <c r="G616"/>
      <c r="H616"/>
      <c r="I616"/>
      <c r="J616"/>
      <c r="K616"/>
      <c r="L616"/>
      <c r="M616"/>
      <c r="N616"/>
      <c r="O616"/>
      <c r="P616"/>
      <c r="Q616"/>
      <c r="R616"/>
      <c r="S616"/>
      <c r="T616"/>
      <c r="U616"/>
      <c r="V616"/>
    </row>
    <row r="617" spans="1:22" x14ac:dyDescent="0.25">
      <c r="A617"/>
      <c r="B617"/>
      <c r="C617"/>
      <c r="D617"/>
      <c r="E617"/>
      <c r="F617"/>
      <c r="G617"/>
      <c r="H617"/>
      <c r="I617"/>
      <c r="J617"/>
      <c r="K617"/>
      <c r="L617"/>
      <c r="M617"/>
      <c r="N617"/>
      <c r="O617"/>
      <c r="P617"/>
      <c r="Q617"/>
      <c r="R617"/>
      <c r="S617"/>
      <c r="T617"/>
      <c r="U617"/>
      <c r="V617"/>
    </row>
    <row r="618" spans="1:22" x14ac:dyDescent="0.25">
      <c r="A618"/>
      <c r="B618"/>
      <c r="C618"/>
      <c r="D618"/>
      <c r="E618"/>
      <c r="F618"/>
      <c r="G618"/>
      <c r="H618"/>
      <c r="I618"/>
      <c r="J618"/>
      <c r="K618"/>
      <c r="L618"/>
      <c r="M618"/>
      <c r="N618"/>
      <c r="O618"/>
      <c r="P618"/>
      <c r="Q618"/>
      <c r="R618"/>
      <c r="S618"/>
      <c r="T618"/>
      <c r="U618"/>
      <c r="V618"/>
    </row>
    <row r="619" spans="1:22" x14ac:dyDescent="0.25">
      <c r="A619"/>
      <c r="B619"/>
      <c r="C619"/>
      <c r="D619"/>
      <c r="E619"/>
      <c r="F619"/>
      <c r="G619"/>
      <c r="H619"/>
      <c r="I619"/>
      <c r="J619"/>
      <c r="K619"/>
      <c r="L619"/>
      <c r="M619"/>
      <c r="N619"/>
      <c r="O619"/>
      <c r="P619"/>
      <c r="Q619"/>
      <c r="R619"/>
      <c r="S619"/>
      <c r="T619"/>
      <c r="U619"/>
      <c r="V619"/>
    </row>
    <row r="620" spans="1:22" x14ac:dyDescent="0.25">
      <c r="A620"/>
      <c r="B620"/>
      <c r="C620"/>
      <c r="D620"/>
      <c r="E620"/>
      <c r="F620"/>
      <c r="G620"/>
      <c r="H620"/>
      <c r="I620"/>
      <c r="J620"/>
      <c r="K620"/>
      <c r="L620"/>
      <c r="M620"/>
      <c r="N620"/>
      <c r="O620"/>
      <c r="P620"/>
      <c r="Q620"/>
      <c r="R620"/>
      <c r="S620"/>
      <c r="T620"/>
      <c r="U620"/>
      <c r="V620"/>
    </row>
    <row r="621" spans="1:22" x14ac:dyDescent="0.25">
      <c r="A621"/>
      <c r="B621"/>
      <c r="C621"/>
      <c r="D621"/>
      <c r="E621"/>
      <c r="F621"/>
      <c r="G621"/>
      <c r="H621"/>
      <c r="I621"/>
      <c r="J621"/>
      <c r="K621"/>
      <c r="L621"/>
      <c r="M621"/>
      <c r="N621"/>
      <c r="O621"/>
      <c r="P621"/>
      <c r="Q621"/>
      <c r="R621"/>
      <c r="S621"/>
      <c r="T621"/>
      <c r="U621"/>
      <c r="V621"/>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3BC3790-A78C-4836-9809-0A44225173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Careem_Bike_Data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swayam panchal</dc:creator>
  <cp:lastModifiedBy>swayam panchal</cp:lastModifiedBy>
  <dcterms:created xsi:type="dcterms:W3CDTF">2026-02-13T07:16:53Z</dcterms:created>
  <dcterms:modified xsi:type="dcterms:W3CDTF">2026-02-14T07:31:52Z</dcterms:modified>
</cp:coreProperties>
</file>